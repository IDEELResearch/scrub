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rverity/Dropbox/Bob/Work/My Programs/Mapping/scrub/analysis/data-raw/"/>
    </mc:Choice>
  </mc:AlternateContent>
  <xr:revisionPtr revIDLastSave="0" documentId="13_ncr:1_{025D262E-31F7-B742-BD04-FAD2862EF6C8}" xr6:coauthVersionLast="47" xr6:coauthVersionMax="47" xr10:uidLastSave="{00000000-0000-0000-0000-000000000000}"/>
  <bookViews>
    <workbookView xWindow="1180" yWindow="5220" windowWidth="23500" windowHeight="16760" firstSheet="7" activeTab="10" xr2:uid="{DA1909FE-6D53-CC42-B275-AE2BCB499241}"/>
  </bookViews>
  <sheets>
    <sheet name="11926004" sheetId="2" r:id="rId1"/>
    <sheet name="31369106" sheetId="81" r:id="rId2"/>
    <sheet name="17292769" sheetId="65" r:id="rId3"/>
    <sheet name="28546554" sheetId="64" r:id="rId4"/>
    <sheet name="35135546" sheetId="63" r:id="rId5"/>
    <sheet name="34906159" sheetId="62" r:id="rId6"/>
    <sheet name="30404640" sheetId="61" r:id="rId7"/>
    <sheet name="29854394" sheetId="60" r:id="rId8"/>
    <sheet name="29582732" sheetId="59" r:id="rId9"/>
    <sheet name="29486766" sheetId="58" r:id="rId10"/>
    <sheet name="29458380" sheetId="57" r:id="rId11"/>
    <sheet name="29390014" sheetId="56" r:id="rId12"/>
    <sheet name="29363453" sheetId="55" r:id="rId13"/>
    <sheet name="28039354" sheetId="54" r:id="rId14"/>
    <sheet name="28004634" sheetId="53" r:id="rId15"/>
    <sheet name="27565897" sheetId="52" r:id="rId16"/>
    <sheet name="27160572" sheetId="51" r:id="rId17"/>
    <sheet name="25421474" sheetId="49" r:id="rId18"/>
    <sheet name="24799371" sheetId="48" r:id="rId19"/>
    <sheet name="24727053" sheetId="46" r:id="rId20"/>
    <sheet name="24657918" sheetId="45" r:id="rId21"/>
    <sheet name="24359280" sheetId="44" r:id="rId22"/>
    <sheet name="23870667" sheetId="43" r:id="rId23"/>
    <sheet name="23537170" sheetId="42" r:id="rId24"/>
    <sheet name="22904636" sheetId="41" r:id="rId25"/>
    <sheet name="22641431" sheetId="40" r:id="rId26"/>
    <sheet name="22004584" sheetId="37" r:id="rId27"/>
    <sheet name="21896916" sheetId="36" r:id="rId28"/>
    <sheet name="21288822" sheetId="35" r:id="rId29"/>
    <sheet name="19398039" sheetId="32" r:id="rId30"/>
    <sheet name="19346369" sheetId="67" r:id="rId31"/>
    <sheet name="19014684" sheetId="68" r:id="rId32"/>
    <sheet name="18411325" sheetId="69" r:id="rId33"/>
    <sheet name="18008244" sheetId="70" r:id="rId34"/>
    <sheet name="17538894" sheetId="71" r:id="rId35"/>
    <sheet name="17488902" sheetId="72" r:id="rId36"/>
    <sheet name="17224049" sheetId="73" r:id="rId37"/>
    <sheet name="17158810" sheetId="74" r:id="rId38"/>
    <sheet name="17096149" sheetId="75" r:id="rId39"/>
    <sheet name="16271310" sheetId="76" r:id="rId40"/>
    <sheet name="15814601" sheetId="77" r:id="rId41"/>
    <sheet name="15388456" sheetId="78" r:id="rId42"/>
    <sheet name="12518847" sheetId="79" r:id="rId43"/>
    <sheet name="12474488" sheetId="80" r:id="rId4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9" i="48" l="1"/>
  <c r="H48" i="48"/>
  <c r="H47" i="48"/>
  <c r="H46" i="48"/>
  <c r="H45" i="48"/>
  <c r="H44" i="48"/>
  <c r="H43" i="48"/>
  <c r="H42" i="48"/>
  <c r="H41" i="48"/>
  <c r="H40" i="48"/>
  <c r="H39" i="48"/>
  <c r="H38" i="48"/>
  <c r="H37" i="48"/>
  <c r="H36" i="48"/>
  <c r="H35" i="48"/>
  <c r="H34" i="48"/>
  <c r="H33" i="48"/>
  <c r="H32" i="48"/>
  <c r="H31" i="48"/>
  <c r="H30" i="48"/>
  <c r="H29" i="48"/>
  <c r="H25" i="48"/>
  <c r="H24" i="48"/>
  <c r="H23" i="48"/>
  <c r="H22" i="48"/>
  <c r="H21" i="48"/>
  <c r="H20" i="48"/>
  <c r="H19" i="48"/>
  <c r="H18" i="48"/>
  <c r="H17" i="48"/>
  <c r="H16" i="48"/>
  <c r="H15" i="48"/>
  <c r="H14" i="48"/>
  <c r="H13" i="48"/>
  <c r="H12" i="48"/>
  <c r="H11" i="48"/>
  <c r="H10" i="48"/>
  <c r="H9" i="48"/>
  <c r="H8" i="48"/>
  <c r="H7" i="48"/>
  <c r="H6" i="48"/>
  <c r="H5" i="48"/>
</calcChain>
</file>

<file path=xl/sharedStrings.xml><?xml version="1.0" encoding="utf-8"?>
<sst xmlns="http://schemas.openxmlformats.org/spreadsheetml/2006/main" count="4212" uniqueCount="376">
  <si>
    <t>country</t>
  </si>
  <si>
    <t>site</t>
  </si>
  <si>
    <t>present</t>
  </si>
  <si>
    <t>tested</t>
  </si>
  <si>
    <t>lat</t>
  </si>
  <si>
    <t>lon</t>
  </si>
  <si>
    <t>PMID</t>
  </si>
  <si>
    <t>Burkina Faso</t>
  </si>
  <si>
    <t>Democratic Republic of the Congo</t>
  </si>
  <si>
    <t>Kinshasa</t>
  </si>
  <si>
    <t>Ghana</t>
  </si>
  <si>
    <t>Kenya</t>
  </si>
  <si>
    <t>Siaya district</t>
  </si>
  <si>
    <t>Mali</t>
  </si>
  <si>
    <t>Tanzania</t>
  </si>
  <si>
    <t>Uganda</t>
  </si>
  <si>
    <t>Tororo</t>
  </si>
  <si>
    <t>Angola</t>
  </si>
  <si>
    <t>Luanda</t>
  </si>
  <si>
    <t>Benin</t>
  </si>
  <si>
    <t>Porto-Novo</t>
  </si>
  <si>
    <t>Cameroon</t>
  </si>
  <si>
    <t>Yaound√©</t>
  </si>
  <si>
    <t>Central African Republic</t>
  </si>
  <si>
    <t>Bangui</t>
  </si>
  <si>
    <t>Chad</t>
  </si>
  <si>
    <t>D'Djamena</t>
  </si>
  <si>
    <t>Yamoussoukro</t>
  </si>
  <si>
    <t>Equatorial Guinea</t>
  </si>
  <si>
    <t>Malabo</t>
  </si>
  <si>
    <t>Ethiopia</t>
  </si>
  <si>
    <t>Gabon</t>
  </si>
  <si>
    <t>Libreville</t>
  </si>
  <si>
    <t>Accra</t>
  </si>
  <si>
    <t>Guinea</t>
  </si>
  <si>
    <t>Conakry</t>
  </si>
  <si>
    <t>Nairobi</t>
  </si>
  <si>
    <t>Liberia</t>
  </si>
  <si>
    <t>Monrovia</t>
  </si>
  <si>
    <t>Libya</t>
  </si>
  <si>
    <t>Tripoli</t>
  </si>
  <si>
    <t>Bamako</t>
  </si>
  <si>
    <t>Mozambique</t>
  </si>
  <si>
    <t>Maputo</t>
  </si>
  <si>
    <t>Nigeria</t>
  </si>
  <si>
    <t>Sierra Leone</t>
  </si>
  <si>
    <t>Freetown</t>
  </si>
  <si>
    <t>Sudan</t>
  </si>
  <si>
    <t>Khartoum</t>
  </si>
  <si>
    <t>Dodoma</t>
  </si>
  <si>
    <t>Togo</t>
  </si>
  <si>
    <t>Lome</t>
  </si>
  <si>
    <t>Kampala</t>
  </si>
  <si>
    <t>Zambia</t>
  </si>
  <si>
    <t>Lusaka</t>
  </si>
  <si>
    <t>Zimbabwe</t>
  </si>
  <si>
    <t>Harare</t>
  </si>
  <si>
    <t>Niger</t>
  </si>
  <si>
    <t>Kombewa</t>
  </si>
  <si>
    <t>Arua</t>
  </si>
  <si>
    <t>Jinja</t>
  </si>
  <si>
    <t>Kanungu</t>
  </si>
  <si>
    <t>notes</t>
  </si>
  <si>
    <t>Senegal</t>
  </si>
  <si>
    <t>variant_string</t>
  </si>
  <si>
    <t>study_id</t>
  </si>
  <si>
    <t>survey_id</t>
  </si>
  <si>
    <t>study_start</t>
  </si>
  <si>
    <t>study_end</t>
  </si>
  <si>
    <t>WWARN_19014684</t>
  </si>
  <si>
    <t>WWARN_19014684_luanda_2005</t>
  </si>
  <si>
    <t>crt:76:T</t>
  </si>
  <si>
    <t>crt:76:K/T</t>
  </si>
  <si>
    <t>crt:76:K</t>
  </si>
  <si>
    <t>mdr1:86:Y</t>
  </si>
  <si>
    <t>mdr1:86:N/Y</t>
  </si>
  <si>
    <t>mdr1:86:N</t>
  </si>
  <si>
    <t>WWARN_27160572</t>
  </si>
  <si>
    <t>WWARN_27160572_luanda_2012</t>
  </si>
  <si>
    <t>WWARN_17292769</t>
  </si>
  <si>
    <t>WWARN_17292769_bobo_dioulasso_2_2005</t>
  </si>
  <si>
    <t>Bobo-Dioulasso</t>
  </si>
  <si>
    <t>WWARN_28004634</t>
  </si>
  <si>
    <t>WWARN_28004634_bobo_dioulasso_2_2012</t>
  </si>
  <si>
    <t>WWARN_17538894</t>
  </si>
  <si>
    <t>WWARN_17538894_ziniare_bousse_2002</t>
  </si>
  <si>
    <t>Ziniar√©, Bouss√©</t>
  </si>
  <si>
    <t>WWARN_29854394</t>
  </si>
  <si>
    <t>WWARN_29854394_mutengene_2003</t>
  </si>
  <si>
    <t>Mutengene</t>
  </si>
  <si>
    <t>WWARN_29854394_mutengene_2009</t>
  </si>
  <si>
    <t>WWARN_27160572_yaounde_2012</t>
  </si>
  <si>
    <t>WWARN_27160572_bangui_2012</t>
  </si>
  <si>
    <t>WWARN_22904636</t>
  </si>
  <si>
    <t>WWARN_22904636_bonoua_2005</t>
  </si>
  <si>
    <t>Bonoua</t>
  </si>
  <si>
    <t>WWARN_22904636_samo_2005</t>
  </si>
  <si>
    <t>Samo</t>
  </si>
  <si>
    <t>WWARN_24359280</t>
  </si>
  <si>
    <t>WWARN_24359280_kinshasa_2010</t>
  </si>
  <si>
    <t>WWARN_27160572_kinshasa_2012</t>
  </si>
  <si>
    <t>WWARN_34906159</t>
  </si>
  <si>
    <t>WWARN_34906159_equatorial_guinea_1999</t>
  </si>
  <si>
    <t>WWARN_34906159_equatorial_guinea_2001</t>
  </si>
  <si>
    <t>WWARN_34906159_equatorial_guinea_2004</t>
  </si>
  <si>
    <t>WWARN_34906159_equatorial_guinea_2006</t>
  </si>
  <si>
    <t>WWARN_34906159_equatorial_guinea_2011</t>
  </si>
  <si>
    <t>WWARN_34906159_equatorial_guinea_2013</t>
  </si>
  <si>
    <t>WWARN_34906159_equatorial_guinea_2016</t>
  </si>
  <si>
    <t>WWARN_34906159_equatorial_guinea_2019</t>
  </si>
  <si>
    <t>WWARN_23537170</t>
  </si>
  <si>
    <t>WWARN_23537170_miyobo_2005</t>
  </si>
  <si>
    <t>Miyobo</t>
  </si>
  <si>
    <t>WWARN_23537170_ngonamanga_2005</t>
  </si>
  <si>
    <t>Ngonamanga</t>
  </si>
  <si>
    <t>WWARN_17096149</t>
  </si>
  <si>
    <t>WWARN_17096149_lambarene_2002</t>
  </si>
  <si>
    <t>Lambar√©n√©</t>
  </si>
  <si>
    <t>WWARN_17096149_lambarene_1995</t>
  </si>
  <si>
    <t>WWARN_22004584</t>
  </si>
  <si>
    <t>WWARN_22004584_lambarene_2005</t>
  </si>
  <si>
    <t>WWARN_22004584_lamberene_1995</t>
  </si>
  <si>
    <t>Lamber√©n√©</t>
  </si>
  <si>
    <t>WWARN_24727053</t>
  </si>
  <si>
    <t>WWARN_24727053_accra_2010</t>
  </si>
  <si>
    <t>WWARN_27160572_accra_2012</t>
  </si>
  <si>
    <t>WWARN_24727053_ashanti_2010</t>
  </si>
  <si>
    <t>Ashanti</t>
  </si>
  <si>
    <t>WWARN_21288822</t>
  </si>
  <si>
    <t>WWARN_21288822_bekwai_2007</t>
  </si>
  <si>
    <t>Bekwai</t>
  </si>
  <si>
    <t>WWARN_29582732</t>
  </si>
  <si>
    <t>WWARN_29582732_bekwai_2011</t>
  </si>
  <si>
    <t>WWARN_24727053_brong_ahafo_2010</t>
  </si>
  <si>
    <t>Brong-Ahafo</t>
  </si>
  <si>
    <t>WWARN_21288822_cape_coast_2007</t>
  </si>
  <si>
    <t>Cape Coast</t>
  </si>
  <si>
    <t>WWARN_24727053_central_ghana_2010</t>
  </si>
  <si>
    <t>Central Ghana</t>
  </si>
  <si>
    <t>WWARN_17158810</t>
  </si>
  <si>
    <t>WWARN_17158810_hohoe_2004</t>
  </si>
  <si>
    <t>Hohoe</t>
  </si>
  <si>
    <t>WWARN_17158810_navrongo_2004</t>
  </si>
  <si>
    <t>Navrongo</t>
  </si>
  <si>
    <t>WWARN_21288822_navrongo_2007</t>
  </si>
  <si>
    <t>WWARN_18411325</t>
  </si>
  <si>
    <t>WWARN_18411325_navrongo_1996</t>
  </si>
  <si>
    <t>WWARN_21288822_sunyani_2007</t>
  </si>
  <si>
    <t>Sunyani</t>
  </si>
  <si>
    <t>WWARN_17158810_sunyani_2004</t>
  </si>
  <si>
    <t>WWARN_17158810_tarkwa_2004</t>
  </si>
  <si>
    <t>Tarkwa</t>
  </si>
  <si>
    <t>WWARN_24727053_volta_2010</t>
  </si>
  <si>
    <t>Volta</t>
  </si>
  <si>
    <t>WWARN_24727053_western_ghana_2010</t>
  </si>
  <si>
    <t>Western Ghana</t>
  </si>
  <si>
    <t>WWARN_17158810_yendi_2004</t>
  </si>
  <si>
    <t>Yendi</t>
  </si>
  <si>
    <t>WWARN_17488902</t>
  </si>
  <si>
    <t>WWARN_17488902_guinea_bissau_2001</t>
  </si>
  <si>
    <t>Guinea-Bissau</t>
  </si>
  <si>
    <t>WWARN_24657918</t>
  </si>
  <si>
    <t>WWARN_24657918_guinea_bissau_2001</t>
  </si>
  <si>
    <t>WWARN_25421474</t>
  </si>
  <si>
    <t>WWARN_25421474_bissau_2003</t>
  </si>
  <si>
    <t>Bissau</t>
  </si>
  <si>
    <t>WWARN_25421474_bissau_2004</t>
  </si>
  <si>
    <t>WWARN_25421474_bissau_2005</t>
  </si>
  <si>
    <t>WWARN_25421474_bissau_2006</t>
  </si>
  <si>
    <t>WWARN_25421474_bissau_2007</t>
  </si>
  <si>
    <t>WWARN_25421474_bissau_2008</t>
  </si>
  <si>
    <t>WWARN_25421474_bissau_2010</t>
  </si>
  <si>
    <t>WWARN_25421474_bissau_2011</t>
  </si>
  <si>
    <t>WWARN_25421474_bissau_2012</t>
  </si>
  <si>
    <t>WWARN_28546554</t>
  </si>
  <si>
    <t>WWARN_28546554_bissau_2014</t>
  </si>
  <si>
    <t>WWARN_19398039</t>
  </si>
  <si>
    <t>WWARN_19398039_chemelil_2006</t>
  </si>
  <si>
    <t>Chemelil</t>
  </si>
  <si>
    <t>WWARN_19398039_iguhu_2006</t>
  </si>
  <si>
    <t>Iguhu</t>
  </si>
  <si>
    <t>WWARN_18411325_kabobo_kanyawegi_1996</t>
  </si>
  <si>
    <t>Kabobo, Kanyawegi</t>
  </si>
  <si>
    <t>WWARN_29363453</t>
  </si>
  <si>
    <t>WWARN_29363453_kakamega_2003</t>
  </si>
  <si>
    <t>Kakamega</t>
  </si>
  <si>
    <t>WWARN_29363453_kakamega_2005</t>
  </si>
  <si>
    <t>WWARN_29363453_kakamega_2008</t>
  </si>
  <si>
    <t>WWARN_29363453_kakamega_2015</t>
  </si>
  <si>
    <t>WWARN_19398039_kisian_2006</t>
  </si>
  <si>
    <t>Kisian</t>
  </si>
  <si>
    <t>WWARN_29363453_kombewa_2003</t>
  </si>
  <si>
    <t>WWARN_29363453_kombewa_2005</t>
  </si>
  <si>
    <t>WWARN_29363453_kombewa_2008</t>
  </si>
  <si>
    <t>WWARN_29363453_kombewa_2015</t>
  </si>
  <si>
    <t>WWARN_19398039_miwani_2006</t>
  </si>
  <si>
    <t>Miwani</t>
  </si>
  <si>
    <t>WWARN_16271310</t>
  </si>
  <si>
    <t>WWARN_16271310_siaya_district_2003</t>
  </si>
  <si>
    <t>WWARN_22641431</t>
  </si>
  <si>
    <t>WWARN_22641431_tiwi_2008</t>
  </si>
  <si>
    <t>Tiwi</t>
  </si>
  <si>
    <t>WWARN_22641431_tiwi_1999</t>
  </si>
  <si>
    <t>WWARN_24657918_liberia_1978</t>
  </si>
  <si>
    <t>WWARN_27160572_maputo_2012</t>
  </si>
  <si>
    <t>WWARN_15814601</t>
  </si>
  <si>
    <t>WWARN_15814601_thiadiaye_2001</t>
  </si>
  <si>
    <t>Thiadiaye</t>
  </si>
  <si>
    <t>WWARN_21896916</t>
  </si>
  <si>
    <t>WWARN_21896916_asar_daraweesh_abu_adam_new_halfa_2008</t>
  </si>
  <si>
    <t>Asar, Daraweesh, Abu Adam, New Halfa</t>
  </si>
  <si>
    <t>WWARN_23870667</t>
  </si>
  <si>
    <t>WWARN_23870667_kassala_city_2012</t>
  </si>
  <si>
    <t>Kassala City</t>
  </si>
  <si>
    <t>WWARN_24657918_tanzania_2008</t>
  </si>
  <si>
    <t>WWARN_27565897</t>
  </si>
  <si>
    <t>WWARN_27565897_bagamoyo_district_2014</t>
  </si>
  <si>
    <t>Bagamoyo District</t>
  </si>
  <si>
    <t>WWARN_17224049</t>
  </si>
  <si>
    <t>WWARN_17224049_mbeya_matema_2004</t>
  </si>
  <si>
    <t>Mbeya, Matema</t>
  </si>
  <si>
    <t>WWARN_19346369</t>
  </si>
  <si>
    <t>WWARN_19346369_mkokola_kwamasimba_2004</t>
  </si>
  <si>
    <t>Mkokola, Kwamasimba</t>
  </si>
  <si>
    <t>WWARN_19346369_mkokola_kwamasimba_2003</t>
  </si>
  <si>
    <t>WWARN_19346369_mkokola_kwamasimba_2006</t>
  </si>
  <si>
    <t>WWARN_19346369_mkokola_kwamasimba_2007</t>
  </si>
  <si>
    <t>Gambia</t>
  </si>
  <si>
    <t>WWARN_12518847</t>
  </si>
  <si>
    <t>WWARN_12518847_gambia_1999</t>
  </si>
  <si>
    <t>WWARN_15388456</t>
  </si>
  <si>
    <t>WWARN_15388456_farafenni_2000</t>
  </si>
  <si>
    <t>Farafenni</t>
  </si>
  <si>
    <t>WWARN_18008244</t>
  </si>
  <si>
    <t>WWARN_18008244_farafenni_hospital_2001</t>
  </si>
  <si>
    <t>Farafenni Hospital</t>
  </si>
  <si>
    <t>WWARN_18008244_farafenni_hospital_2000</t>
  </si>
  <si>
    <t>WWARN_18008244_farafenni_hospital_1999</t>
  </si>
  <si>
    <t>WWARN_18008244_farafenni_hospital_1998</t>
  </si>
  <si>
    <t>WWARN_18008244_farafenni_hospital_2002</t>
  </si>
  <si>
    <t>WWARN_11926004</t>
  </si>
  <si>
    <t>WWARN_11926004_apac_1999</t>
  </si>
  <si>
    <t>Apac</t>
  </si>
  <si>
    <t>WWARN_12474488</t>
  </si>
  <si>
    <t>WWARN_12474488_apac_1998</t>
  </si>
  <si>
    <t>WWARN_12474488_arua_1998</t>
  </si>
  <si>
    <t>WWARN_12474488_jinja_1998</t>
  </si>
  <si>
    <t>WWARN_28039354</t>
  </si>
  <si>
    <t>WWARN_28039354_jinja_2012</t>
  </si>
  <si>
    <t>WWARN_28039354_jinja_2013</t>
  </si>
  <si>
    <t>WWARN_28039354_jinja_2015</t>
  </si>
  <si>
    <t>WWARN_12474488_kabarole_1998</t>
  </si>
  <si>
    <t>Kabarole</t>
  </si>
  <si>
    <t>WWARN_11926004_kampala_1999</t>
  </si>
  <si>
    <t>WWARN_18411325_kampala_1998</t>
  </si>
  <si>
    <t>WWARN_27160572_kampala_2012</t>
  </si>
  <si>
    <t>WWARN_28039354_kanungu_2012</t>
  </si>
  <si>
    <t>WWARN_28039354_kanungu_2013</t>
  </si>
  <si>
    <t>WWARN_28039354_kanungu_2015</t>
  </si>
  <si>
    <t>WWARN_12474488_rukungiri_1998</t>
  </si>
  <si>
    <t>Rukungiri</t>
  </si>
  <si>
    <t>WWARN_24799371</t>
  </si>
  <si>
    <t>WWARN_12474488_tororo_1998</t>
  </si>
  <si>
    <t>WWARN_11926004_tororo_1999</t>
  </si>
  <si>
    <t>WWARN_24799371_tororo_2003</t>
  </si>
  <si>
    <t>WWARN_28039354_tororo_2012</t>
  </si>
  <si>
    <t>WWARN_28039354_tororo_2013</t>
  </si>
  <si>
    <t>WWARN_28039354_tororo_2015</t>
  </si>
  <si>
    <t>WWARN_27160572_porto_novo_2012</t>
  </si>
  <si>
    <t>WWARN_27160572_conakry_2012</t>
  </si>
  <si>
    <t>WWARN_27160572_yamoussoukro_2012</t>
  </si>
  <si>
    <t>WWARN_27160572_monrovia_2012</t>
  </si>
  <si>
    <t>WWARN_27160572_bamako_2012</t>
  </si>
  <si>
    <t>WWARN_27160572_freetown_2012</t>
  </si>
  <si>
    <t>WWARN_27160572_lome_2012</t>
  </si>
  <si>
    <t>WWARN_27160572_d_djamena_2012</t>
  </si>
  <si>
    <t>WWARN_27160572_malabo_2012</t>
  </si>
  <si>
    <t>WWARN_27160572_libreville_2012</t>
  </si>
  <si>
    <t>WWARN_27160572_khartoum_2012</t>
  </si>
  <si>
    <t>WWARN_29390014</t>
  </si>
  <si>
    <t>WWARN_29390014_mbarara_2012</t>
  </si>
  <si>
    <t>Mbarara</t>
  </si>
  <si>
    <t>WWARN_27160572_lusaka_2012</t>
  </si>
  <si>
    <t>WWARN_27160572_harare_2012</t>
  </si>
  <si>
    <t>WWARN_27160572_tripoli_2012</t>
  </si>
  <si>
    <t>WWARN_27160572_adis_ababa_2012</t>
  </si>
  <si>
    <t>Adis Ababa</t>
  </si>
  <si>
    <t>WWARN_27160572_nairobi_2012</t>
  </si>
  <si>
    <t>WWARN_27160572_dodoma_2012</t>
  </si>
  <si>
    <t>WWARN_27160572_abuja_2012</t>
  </si>
  <si>
    <t>Abuja</t>
  </si>
  <si>
    <t>WWARN_27160572_quagadougou_2012</t>
  </si>
  <si>
    <t>Quagadougou</t>
  </si>
  <si>
    <t>WWARN_29458380</t>
  </si>
  <si>
    <t>WWARN_29458380_benguela_2015</t>
  </si>
  <si>
    <t>Benguela</t>
  </si>
  <si>
    <t>WWARN_29458380_zaire_2015</t>
  </si>
  <si>
    <t>Zaire</t>
  </si>
  <si>
    <t>WWARN_29458380_lunda_sul_2015</t>
  </si>
  <si>
    <t>Lunda Sul</t>
  </si>
  <si>
    <t>WWARN_29390014_democratic_republic_of_the_congo_2012</t>
  </si>
  <si>
    <t>WWARN_30404640</t>
  </si>
  <si>
    <t>WWARN_30404640_anonkoua_koute_2015</t>
  </si>
  <si>
    <t>Anonkoua Kout√©</t>
  </si>
  <si>
    <t>WWARN_29486766</t>
  </si>
  <si>
    <t>WWARN_29486766_gabi_2011</t>
  </si>
  <si>
    <t>Gabi</t>
  </si>
  <si>
    <t>WWARN_30404640_port_bouet_2015</t>
  </si>
  <si>
    <t>Port Bou√´t</t>
  </si>
  <si>
    <t>WWARN_30404640_ayame_2015</t>
  </si>
  <si>
    <t>Ayam√©</t>
  </si>
  <si>
    <t>WWARN_35135546</t>
  </si>
  <si>
    <t>WWARN_35135546_ouelessebougou_2014</t>
  </si>
  <si>
    <t>Ouelessebougou</t>
  </si>
  <si>
    <t>Code d'Ivoire</t>
  </si>
  <si>
    <t>Corrected based on original paper</t>
  </si>
  <si>
    <t>WT numbers imputed</t>
  </si>
  <si>
    <t>WT not stated in paper, but think WWARN value of 15 was a data entry mistake when imputing WT (did not sum to denominator)</t>
  </si>
  <si>
    <t>Think original WWARN value of 25 was a data entry mistake, as does not sum to denominator</t>
  </si>
  <si>
    <t>Corrected WWARN denominator based on paper</t>
  </si>
  <si>
    <t>Mixed counts are not given directly, but are clear from Fig1 and can be back-calculated exactly from Table1</t>
  </si>
  <si>
    <t>Mixed counts are not given directly, but can be back-calculated exactly from Table1</t>
  </si>
  <si>
    <t>Corrected WWARN values. Was mising WT counts from Table 1, also denominator recalculated from Table1 to reflect sum of numerators</t>
  </si>
  <si>
    <t>Corrected WWARN values. Table 2 of paper mentions that there were mixed infections, but does not give counts. Although we cannot reconstruct mixed haplotypes, focusing just on 76 we can unambiguously calculate the number of mixed counts.</t>
  </si>
  <si>
    <t>The numbers in the original paper cannot be reconciled with the denominator, hence have been excluded</t>
  </si>
  <si>
    <t>Corrected data entry mistake in WWARN numbers</t>
  </si>
  <si>
    <t>Corrected WWARN values by re-extracting from paper. The data are very unclear from the paper, but can be estimated by combining tables S1 and S4, and enforcing that numerator sums to denominator</t>
  </si>
  <si>
    <t>Corrected WWARN values, which differed from paper for many values. Re-extracted from table S1</t>
  </si>
  <si>
    <t>Corrected WWARN values - looks like data entry mistake</t>
  </si>
  <si>
    <t>Corrected WWARN values - denominator taken as sum of numerators, rather than total samples reported in paper. Likely some samples failed sequencing</t>
  </si>
  <si>
    <t>Cote d'Ivoire</t>
  </si>
  <si>
    <t>Corrected WWARN values - some mixed counts missing</t>
  </si>
  <si>
    <t>Corrected WWARN values, which were missing mixed counts and therefore numerator did not sum to denominator</t>
  </si>
  <si>
    <t>WWARN data were missing some years, and some numerators not matching denominator. Re-extracted from source</t>
  </si>
  <si>
    <t>Paper lists sample size of 57, but numerator implies 56</t>
  </si>
  <si>
    <t>Corrected WWARN data, raw counts imply some mixed infections, which can be calculated exactly</t>
  </si>
  <si>
    <t>Corrected WWARN denominator and added row for 76K counts</t>
  </si>
  <si>
    <t>Corrected WWARN data - numerator did not sum to denominator. The source paper is quite unclear (additional file 3), had to make a judgement call.</t>
  </si>
  <si>
    <t>Corrected WWARN data - data entry mistakes and mixed counts ignored</t>
  </si>
  <si>
    <t>Corrected WWARN data. Blank haplotypes should not be included in the denominator</t>
  </si>
  <si>
    <t>Corrected WWARN values - data imply a single mixed infection</t>
  </si>
  <si>
    <t>Corrected WWARN values - data imply some mixed infections</t>
  </si>
  <si>
    <t>Corrected WWARN value - data entry mistake</t>
  </si>
  <si>
    <t>Corrected WWARN data - numerator did not sum to denominator. Exact values are unclear from the source paper, but made a judgement call that ensures numerators sum correctly</t>
  </si>
  <si>
    <t>Denominator corrected</t>
  </si>
  <si>
    <t>Corrected Based on Original Paper</t>
  </si>
  <si>
    <t xml:space="preserve">Added </t>
  </si>
  <si>
    <t>Corrected</t>
  </si>
  <si>
    <t>Added based on original paper</t>
  </si>
  <si>
    <t>Added from original paper</t>
  </si>
  <si>
    <t>Corrected based on the original paper</t>
  </si>
  <si>
    <t>Added based on Original paper</t>
  </si>
  <si>
    <t>Corrected Denominator based on Original paper</t>
  </si>
  <si>
    <t>Corrected from original paper- Incorrect % calculation</t>
  </si>
  <si>
    <t>Corrected WWARN values based on source paper</t>
  </si>
  <si>
    <t>WWARN_31369106</t>
  </si>
  <si>
    <t>WWARN_31369106_kassala_city_2009</t>
  </si>
  <si>
    <t>Kassala City</t>
  </si>
  <si>
    <t>WWARN_31369106_khartoum_2016</t>
  </si>
  <si>
    <t>WWARN_31369106_gezira_2009</t>
  </si>
  <si>
    <t>Gezira</t>
  </si>
  <si>
    <t>WWARN_31369106_south_darfur_2009</t>
  </si>
  <si>
    <t>South Darfur</t>
  </si>
  <si>
    <t>WWARN_31369106_upper_nile_2009</t>
  </si>
  <si>
    <t>South Sudan</t>
  </si>
  <si>
    <t>Upper Nile</t>
  </si>
  <si>
    <t>Corrected WWARN data entry mistake</t>
  </si>
  <si>
    <t>Re-extracted from source. Note there are some inconsistencies in the source paper regarding number of mixed counts, which is incompatible with marginal prevalences.</t>
  </si>
  <si>
    <t>WWARN_24799371_tororo_2005</t>
  </si>
  <si>
    <t>WWARN_24799371_tororo_2007</t>
  </si>
  <si>
    <t>WWARN_24799371_tororo_2008</t>
  </si>
  <si>
    <t>WWARN_24799371_tororo_2009</t>
  </si>
  <si>
    <t>WWARN_24799371_tororo_2010</t>
  </si>
  <si>
    <t>WWARN_24799371_tororo_2011</t>
  </si>
  <si>
    <t>WWARN_24799371_tororo_2012</t>
  </si>
  <si>
    <t>Re-extracted from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</si>
</sst>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8"/>
      <name val="Aptos Narrow"/>
      <family val="2"/>
      <scheme val="minor"/>
    </font>
    <font>
      <sz val="12"/>
      <color rgb="FF000000"/>
      <name val="Aptos Narrow"/>
      <family val="2"/>
      <charset val="1"/>
    </font>
    <font>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xfId="0"/>
    <xf numFmtId="0" fontId="2" fillId="0" borderId="0" xfId="1"/>
    <xf numFmtId="0" fontId="3" fillId="0" borderId="0" xfId="0" applyFont="1"/>
  </cellXfs>
  <cellStyles count="2">
    <cellStyle name="Normal" xfId="0" builtinId="0"/>
    <cellStyle name="Normal 2" xfId="1" xr:uid="{2186CF87-7180-EC4F-92AA-0126AD64D8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BDC14-C076-8043-A2F7-FF84EF0A76C6}">
  <dimension ref="A1:M10"/>
  <sheetViews>
    <sheetView workbookViewId="0">
      <selection activeCell="C20" sqref="C20"/>
    </sheetView>
  </sheetViews>
  <sheetFormatPr baseColWidth="10" defaultRowHeight="16" x14ac:dyDescent="0.2"/>
  <cols>
    <col min="1" max="1" width="17" bestFit="1" customWidth="1"/>
    <col min="2" max="2" width="29.83203125" bestFit="1" customWidth="1"/>
    <col min="3" max="3" width="7.33203125" bestFit="1" customWidth="1"/>
    <col min="4" max="5" width="8.1640625" bestFit="1" customWidth="1"/>
    <col min="6" max="6" width="9.1640625" bestFit="1" customWidth="1"/>
    <col min="7" max="7" width="10.1640625" bestFit="1" customWidth="1"/>
    <col min="8" max="8" width="9.33203125" bestFit="1" customWidth="1"/>
    <col min="9" max="9" width="12.1640625" bestFit="1" customWidth="1"/>
    <col min="10" max="10" width="7.33203125" bestFit="1" customWidth="1"/>
    <col min="11" max="11" width="6.33203125" bestFit="1" customWidth="1"/>
    <col min="12" max="12" width="9.1640625" bestFit="1" customWidth="1"/>
    <col min="13" max="13" width="14.33203125" customWidth="1"/>
  </cols>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240</v>
      </c>
      <c r="B2" t="s">
        <v>241</v>
      </c>
      <c r="C2" t="s">
        <v>15</v>
      </c>
      <c r="D2" t="s">
        <v>242</v>
      </c>
      <c r="E2">
        <v>32.533299999999997</v>
      </c>
      <c r="F2">
        <v>1.98333</v>
      </c>
      <c r="G2">
        <v>1999</v>
      </c>
      <c r="H2">
        <v>1999</v>
      </c>
      <c r="I2" t="s">
        <v>71</v>
      </c>
      <c r="J2">
        <v>28</v>
      </c>
      <c r="K2">
        <v>41</v>
      </c>
      <c r="L2">
        <v>11926004</v>
      </c>
    </row>
    <row r="3" spans="1:13" x14ac:dyDescent="0.2">
      <c r="A3" t="s">
        <v>240</v>
      </c>
      <c r="B3" t="s">
        <v>241</v>
      </c>
      <c r="C3" t="s">
        <v>15</v>
      </c>
      <c r="D3" t="s">
        <v>242</v>
      </c>
      <c r="E3">
        <v>32.533299999999997</v>
      </c>
      <c r="F3">
        <v>1.98333</v>
      </c>
      <c r="G3">
        <v>1999</v>
      </c>
      <c r="H3">
        <v>1999</v>
      </c>
      <c r="I3" t="s">
        <v>73</v>
      </c>
      <c r="J3">
        <v>0</v>
      </c>
      <c r="K3">
        <v>41</v>
      </c>
      <c r="L3">
        <v>11926004</v>
      </c>
    </row>
    <row r="4" spans="1:13" x14ac:dyDescent="0.2">
      <c r="A4" t="s">
        <v>240</v>
      </c>
      <c r="B4" t="s">
        <v>241</v>
      </c>
      <c r="C4" t="s">
        <v>15</v>
      </c>
      <c r="D4" t="s">
        <v>242</v>
      </c>
      <c r="E4">
        <v>32.533299999999997</v>
      </c>
      <c r="F4">
        <v>1.98333</v>
      </c>
      <c r="G4">
        <v>1999</v>
      </c>
      <c r="H4">
        <v>1999</v>
      </c>
      <c r="I4" t="s">
        <v>72</v>
      </c>
      <c r="J4">
        <v>13</v>
      </c>
      <c r="K4">
        <v>41</v>
      </c>
      <c r="L4">
        <v>11926004</v>
      </c>
    </row>
    <row r="5" spans="1:13" x14ac:dyDescent="0.2">
      <c r="A5" t="s">
        <v>240</v>
      </c>
      <c r="B5" t="s">
        <v>253</v>
      </c>
      <c r="C5" t="s">
        <v>15</v>
      </c>
      <c r="D5" t="s">
        <v>52</v>
      </c>
      <c r="E5">
        <v>32.581099999999999</v>
      </c>
      <c r="F5">
        <v>0.31361099999999997</v>
      </c>
      <c r="G5">
        <v>1999</v>
      </c>
      <c r="H5">
        <v>1999</v>
      </c>
      <c r="I5" t="s">
        <v>71</v>
      </c>
      <c r="J5">
        <v>32</v>
      </c>
      <c r="K5">
        <v>32</v>
      </c>
      <c r="L5">
        <v>11926004</v>
      </c>
    </row>
    <row r="6" spans="1:13" x14ac:dyDescent="0.2">
      <c r="A6" t="s">
        <v>240</v>
      </c>
      <c r="B6" t="s">
        <v>253</v>
      </c>
      <c r="C6" t="s">
        <v>15</v>
      </c>
      <c r="D6" t="s">
        <v>52</v>
      </c>
      <c r="E6">
        <v>32.581099999999999</v>
      </c>
      <c r="F6">
        <v>0.31361099999999997</v>
      </c>
      <c r="G6">
        <v>1999</v>
      </c>
      <c r="H6">
        <v>1999</v>
      </c>
      <c r="I6" t="s">
        <v>73</v>
      </c>
      <c r="J6">
        <v>0</v>
      </c>
      <c r="K6">
        <v>32</v>
      </c>
      <c r="L6">
        <v>11926004</v>
      </c>
    </row>
    <row r="7" spans="1:13" x14ac:dyDescent="0.2">
      <c r="A7" t="s">
        <v>240</v>
      </c>
      <c r="B7" t="s">
        <v>253</v>
      </c>
      <c r="C7" t="s">
        <v>15</v>
      </c>
      <c r="D7" t="s">
        <v>52</v>
      </c>
      <c r="E7">
        <v>32.581099999999999</v>
      </c>
      <c r="F7">
        <v>0.31361099999999997</v>
      </c>
      <c r="G7">
        <v>1999</v>
      </c>
      <c r="H7">
        <v>1999</v>
      </c>
      <c r="I7" t="s">
        <v>72</v>
      </c>
      <c r="J7">
        <v>0</v>
      </c>
      <c r="K7">
        <v>32</v>
      </c>
      <c r="L7">
        <v>11926004</v>
      </c>
    </row>
    <row r="8" spans="1:13" x14ac:dyDescent="0.2">
      <c r="A8" t="s">
        <v>240</v>
      </c>
      <c r="B8" t="s">
        <v>263</v>
      </c>
      <c r="C8" t="s">
        <v>15</v>
      </c>
      <c r="D8" t="s">
        <v>16</v>
      </c>
      <c r="E8">
        <v>34.181100000000001</v>
      </c>
      <c r="F8">
        <v>0.692778</v>
      </c>
      <c r="G8">
        <v>1999</v>
      </c>
      <c r="H8">
        <v>1999</v>
      </c>
      <c r="I8" t="s">
        <v>71</v>
      </c>
      <c r="J8">
        <v>40</v>
      </c>
      <c r="K8">
        <v>45</v>
      </c>
      <c r="L8">
        <v>11926004</v>
      </c>
    </row>
    <row r="9" spans="1:13" x14ac:dyDescent="0.2">
      <c r="A9" t="s">
        <v>240</v>
      </c>
      <c r="B9" t="s">
        <v>263</v>
      </c>
      <c r="C9" t="s">
        <v>15</v>
      </c>
      <c r="D9" t="s">
        <v>16</v>
      </c>
      <c r="E9">
        <v>34.181100000000001</v>
      </c>
      <c r="F9">
        <v>0.692778</v>
      </c>
      <c r="G9">
        <v>1999</v>
      </c>
      <c r="H9">
        <v>1999</v>
      </c>
      <c r="I9" t="s">
        <v>73</v>
      </c>
      <c r="J9">
        <v>0</v>
      </c>
      <c r="K9">
        <v>45</v>
      </c>
      <c r="L9">
        <v>11926004</v>
      </c>
    </row>
    <row r="10" spans="1:13" x14ac:dyDescent="0.2">
      <c r="A10" t="s">
        <v>240</v>
      </c>
      <c r="B10" t="s">
        <v>263</v>
      </c>
      <c r="C10" t="s">
        <v>15</v>
      </c>
      <c r="D10" t="s">
        <v>16</v>
      </c>
      <c r="E10">
        <v>34.181100000000001</v>
      </c>
      <c r="F10">
        <v>0.692778</v>
      </c>
      <c r="G10">
        <v>1999</v>
      </c>
      <c r="H10">
        <v>1999</v>
      </c>
      <c r="I10" t="s">
        <v>72</v>
      </c>
      <c r="J10">
        <v>5</v>
      </c>
      <c r="K10">
        <v>45</v>
      </c>
      <c r="L10">
        <v>11926004</v>
      </c>
      <c r="M10" t="s">
        <v>315</v>
      </c>
    </row>
  </sheetData>
  <sortState xmlns:xlrd2="http://schemas.microsoft.com/office/spreadsheetml/2017/richdata2" ref="A2:L10">
    <sortCondition ref="L2:L1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3093E-F6DE-4F48-9BFB-7B06C9F53768}">
  <dimension ref="A1:M21"/>
  <sheetViews>
    <sheetView workbookViewId="0">
      <selection activeCell="B32" sqref="B32"/>
    </sheetView>
  </sheetViews>
  <sheetFormatPr baseColWidth="10" defaultRowHeight="16" x14ac:dyDescent="0.2"/>
  <cols>
    <col min="1" max="1" width="16.33203125" style="2" bestFit="1" customWidth="1"/>
    <col min="2" max="2" width="32" style="2" bestFit="1" customWidth="1"/>
    <col min="3" max="3" width="10.5" style="2" bestFit="1" customWidth="1"/>
    <col min="4" max="4" width="10.33203125" style="2" bestFit="1" customWidth="1"/>
    <col min="5" max="6" width="8.1640625" style="2" bestFit="1" customWidth="1"/>
    <col min="7" max="7" width="10.1640625" style="2" bestFit="1" customWidth="1"/>
    <col min="8" max="8" width="9.33203125" style="2" bestFit="1" customWidth="1"/>
    <col min="9" max="9" width="12.1640625" style="2" bestFit="1" customWidth="1"/>
    <col min="10" max="10" width="7.33203125" style="2" bestFit="1" customWidth="1"/>
    <col min="11" max="11" width="10.6640625" style="2" customWidth="1"/>
    <col min="12" max="12" width="9.1640625" style="2" bestFit="1" customWidth="1"/>
    <col min="13" max="13" width="12.5" style="2" customWidth="1"/>
  </cols>
  <sheetData>
    <row r="1" spans="1:13" x14ac:dyDescent="0.2">
      <c r="A1" s="2" t="s">
        <v>65</v>
      </c>
      <c r="B1" s="2" t="s">
        <v>66</v>
      </c>
      <c r="C1" s="2" t="s">
        <v>0</v>
      </c>
      <c r="D1" s="2" t="s">
        <v>1</v>
      </c>
      <c r="E1" s="2" t="s">
        <v>5</v>
      </c>
      <c r="F1" s="2" t="s">
        <v>4</v>
      </c>
      <c r="G1" s="2" t="s">
        <v>67</v>
      </c>
      <c r="H1" s="2" t="s">
        <v>68</v>
      </c>
      <c r="I1" s="2" t="s">
        <v>64</v>
      </c>
      <c r="J1" s="2" t="s">
        <v>2</v>
      </c>
      <c r="K1" s="2" t="s">
        <v>3</v>
      </c>
      <c r="L1" s="2" t="s">
        <v>6</v>
      </c>
      <c r="M1" s="2" t="s">
        <v>62</v>
      </c>
    </row>
    <row r="2" spans="1:13" x14ac:dyDescent="0.2">
      <c r="A2" s="2" t="s">
        <v>355</v>
      </c>
      <c r="B2" s="2" t="s">
        <v>359</v>
      </c>
      <c r="C2" s="2" t="s">
        <v>47</v>
      </c>
      <c r="D2" s="2" t="s">
        <v>360</v>
      </c>
      <c r="E2" s="2">
        <v>33.082999999999998</v>
      </c>
      <c r="F2" s="2">
        <v>14.434200000000001</v>
      </c>
      <c r="G2" s="2">
        <v>2009</v>
      </c>
      <c r="H2" s="2">
        <v>2012</v>
      </c>
      <c r="I2" s="2" t="s">
        <v>73</v>
      </c>
      <c r="J2" s="2">
        <v>13</v>
      </c>
      <c r="K2" s="2">
        <v>76</v>
      </c>
      <c r="L2" s="2">
        <v>31369106</v>
      </c>
    </row>
    <row r="3" spans="1:13" x14ac:dyDescent="0.2">
      <c r="A3" s="2" t="s">
        <v>355</v>
      </c>
      <c r="B3" s="2" t="s">
        <v>359</v>
      </c>
      <c r="C3" s="2" t="s">
        <v>47</v>
      </c>
      <c r="D3" s="2" t="s">
        <v>360</v>
      </c>
      <c r="E3" s="2">
        <v>33.082999999999998</v>
      </c>
      <c r="F3" s="2">
        <v>14.434200000000001</v>
      </c>
      <c r="G3" s="2">
        <v>2009</v>
      </c>
      <c r="H3" s="2">
        <v>2012</v>
      </c>
      <c r="I3" s="2" t="s">
        <v>71</v>
      </c>
      <c r="J3" s="2">
        <v>63</v>
      </c>
      <c r="K3" s="2">
        <v>76</v>
      </c>
      <c r="L3" s="2">
        <v>31369106</v>
      </c>
    </row>
    <row r="4" spans="1:13" x14ac:dyDescent="0.2">
      <c r="A4" s="2" t="s">
        <v>355</v>
      </c>
      <c r="B4" s="2" t="s">
        <v>359</v>
      </c>
      <c r="C4" s="2" t="s">
        <v>47</v>
      </c>
      <c r="D4" s="2" t="s">
        <v>360</v>
      </c>
      <c r="E4" s="2">
        <v>33.082999999999998</v>
      </c>
      <c r="F4" s="2">
        <v>14.434200000000001</v>
      </c>
      <c r="G4" s="2">
        <v>2009</v>
      </c>
      <c r="H4" s="2">
        <v>2012</v>
      </c>
      <c r="I4" s="2" t="s">
        <v>76</v>
      </c>
      <c r="J4" s="2">
        <v>26</v>
      </c>
      <c r="K4" s="2">
        <v>73</v>
      </c>
      <c r="L4" s="2">
        <v>31369106</v>
      </c>
    </row>
    <row r="5" spans="1:13" x14ac:dyDescent="0.2">
      <c r="A5" s="2" t="s">
        <v>355</v>
      </c>
      <c r="B5" s="2" t="s">
        <v>359</v>
      </c>
      <c r="C5" s="2" t="s">
        <v>47</v>
      </c>
      <c r="D5" s="2" t="s">
        <v>360</v>
      </c>
      <c r="E5" s="2">
        <v>33.082999999999998</v>
      </c>
      <c r="F5" s="2">
        <v>14.434200000000001</v>
      </c>
      <c r="G5" s="2">
        <v>2009</v>
      </c>
      <c r="H5" s="2">
        <v>2012</v>
      </c>
      <c r="I5" s="2" t="s">
        <v>74</v>
      </c>
      <c r="J5" s="2">
        <v>47</v>
      </c>
      <c r="K5" s="2">
        <v>73</v>
      </c>
      <c r="L5" s="2">
        <v>31369106</v>
      </c>
    </row>
    <row r="6" spans="1:13" x14ac:dyDescent="0.2">
      <c r="A6" s="2" t="s">
        <v>355</v>
      </c>
      <c r="B6" s="2" t="s">
        <v>356</v>
      </c>
      <c r="C6" s="2" t="s">
        <v>47</v>
      </c>
      <c r="D6" s="2" t="s">
        <v>357</v>
      </c>
      <c r="E6" s="2">
        <v>36.4</v>
      </c>
      <c r="F6" s="2">
        <v>15.45</v>
      </c>
      <c r="G6" s="2">
        <v>2009</v>
      </c>
      <c r="H6" s="2">
        <v>2012</v>
      </c>
      <c r="I6" s="2" t="s">
        <v>73</v>
      </c>
      <c r="J6" s="2">
        <v>14</v>
      </c>
      <c r="K6" s="2">
        <v>62</v>
      </c>
      <c r="L6" s="2">
        <v>31369106</v>
      </c>
    </row>
    <row r="7" spans="1:13" x14ac:dyDescent="0.2">
      <c r="A7" s="2" t="s">
        <v>355</v>
      </c>
      <c r="B7" s="2" t="s">
        <v>356</v>
      </c>
      <c r="C7" s="2" t="s">
        <v>47</v>
      </c>
      <c r="D7" s="2" t="s">
        <v>357</v>
      </c>
      <c r="E7" s="2">
        <v>36.4</v>
      </c>
      <c r="F7" s="2">
        <v>15.45</v>
      </c>
      <c r="G7" s="2">
        <v>2009</v>
      </c>
      <c r="H7" s="2">
        <v>2012</v>
      </c>
      <c r="I7" s="2" t="s">
        <v>71</v>
      </c>
      <c r="J7" s="2">
        <v>48</v>
      </c>
      <c r="K7" s="2">
        <v>62</v>
      </c>
      <c r="L7" s="2">
        <v>31369106</v>
      </c>
    </row>
    <row r="8" spans="1:13" x14ac:dyDescent="0.2">
      <c r="A8" s="2" t="s">
        <v>355</v>
      </c>
      <c r="B8" s="2" t="s">
        <v>356</v>
      </c>
      <c r="C8" s="2" t="s">
        <v>47</v>
      </c>
      <c r="D8" s="2" t="s">
        <v>357</v>
      </c>
      <c r="E8" s="2">
        <v>36.4</v>
      </c>
      <c r="F8" s="2">
        <v>15.45</v>
      </c>
      <c r="G8" s="2">
        <v>2009</v>
      </c>
      <c r="H8" s="2">
        <v>2012</v>
      </c>
      <c r="I8" s="2" t="s">
        <v>76</v>
      </c>
      <c r="J8" s="2">
        <v>30</v>
      </c>
      <c r="K8" s="2">
        <v>59</v>
      </c>
      <c r="L8" s="2">
        <v>31369106</v>
      </c>
    </row>
    <row r="9" spans="1:13" x14ac:dyDescent="0.2">
      <c r="A9" s="2" t="s">
        <v>355</v>
      </c>
      <c r="B9" s="2" t="s">
        <v>356</v>
      </c>
      <c r="C9" s="2" t="s">
        <v>47</v>
      </c>
      <c r="D9" s="2" t="s">
        <v>357</v>
      </c>
      <c r="E9" s="2">
        <v>36.4</v>
      </c>
      <c r="F9" s="2">
        <v>15.45</v>
      </c>
      <c r="G9" s="2">
        <v>2009</v>
      </c>
      <c r="H9" s="2">
        <v>2012</v>
      </c>
      <c r="I9" s="2" t="s">
        <v>74</v>
      </c>
      <c r="J9" s="2">
        <v>29</v>
      </c>
      <c r="K9" s="2">
        <v>59</v>
      </c>
      <c r="L9" s="2">
        <v>31369106</v>
      </c>
    </row>
    <row r="10" spans="1:13" x14ac:dyDescent="0.2">
      <c r="A10" s="2" t="s">
        <v>355</v>
      </c>
      <c r="B10" s="2" t="s">
        <v>358</v>
      </c>
      <c r="C10" s="2" t="s">
        <v>47</v>
      </c>
      <c r="D10" s="2" t="s">
        <v>48</v>
      </c>
      <c r="E10" s="2">
        <v>32.432499999999997</v>
      </c>
      <c r="F10" s="2">
        <v>15.501799999999999</v>
      </c>
      <c r="G10" s="2">
        <v>2016</v>
      </c>
      <c r="H10" s="2">
        <v>2016</v>
      </c>
      <c r="I10" s="2" t="s">
        <v>73</v>
      </c>
      <c r="J10" s="2">
        <v>29</v>
      </c>
      <c r="K10" s="2">
        <v>57</v>
      </c>
      <c r="L10" s="2">
        <v>31369106</v>
      </c>
    </row>
    <row r="11" spans="1:13" x14ac:dyDescent="0.2">
      <c r="A11" s="2" t="s">
        <v>355</v>
      </c>
      <c r="B11" s="2" t="s">
        <v>358</v>
      </c>
      <c r="C11" s="2" t="s">
        <v>47</v>
      </c>
      <c r="D11" s="2" t="s">
        <v>48</v>
      </c>
      <c r="E11" s="2">
        <v>32.432499999999997</v>
      </c>
      <c r="F11" s="2">
        <v>15.501799999999999</v>
      </c>
      <c r="G11" s="2">
        <v>2016</v>
      </c>
      <c r="H11" s="2">
        <v>2016</v>
      </c>
      <c r="I11" s="2" t="s">
        <v>71</v>
      </c>
      <c r="J11" s="2">
        <v>28</v>
      </c>
      <c r="K11" s="2">
        <v>57</v>
      </c>
      <c r="L11" s="2">
        <v>31369106</v>
      </c>
    </row>
    <row r="12" spans="1:13" x14ac:dyDescent="0.2">
      <c r="A12" s="2" t="s">
        <v>355</v>
      </c>
      <c r="B12" s="2" t="s">
        <v>358</v>
      </c>
      <c r="C12" s="2" t="s">
        <v>47</v>
      </c>
      <c r="D12" s="2" t="s">
        <v>48</v>
      </c>
      <c r="E12" s="2">
        <v>32.432499999999997</v>
      </c>
      <c r="F12" s="2">
        <v>15.501799999999999</v>
      </c>
      <c r="G12" s="2">
        <v>2016</v>
      </c>
      <c r="H12" s="2">
        <v>2016</v>
      </c>
      <c r="I12" s="2" t="s">
        <v>76</v>
      </c>
      <c r="J12" s="2">
        <v>31</v>
      </c>
      <c r="K12" s="2">
        <v>57</v>
      </c>
      <c r="L12" s="2">
        <v>31369106</v>
      </c>
    </row>
    <row r="13" spans="1:13" x14ac:dyDescent="0.2">
      <c r="A13" s="2" t="s">
        <v>355</v>
      </c>
      <c r="B13" s="2" t="s">
        <v>358</v>
      </c>
      <c r="C13" s="2" t="s">
        <v>47</v>
      </c>
      <c r="D13" s="2" t="s">
        <v>48</v>
      </c>
      <c r="E13" s="2">
        <v>32.432499999999997</v>
      </c>
      <c r="F13" s="2">
        <v>15.501799999999999</v>
      </c>
      <c r="G13" s="2">
        <v>2016</v>
      </c>
      <c r="H13" s="2">
        <v>2016</v>
      </c>
      <c r="I13" s="2" t="s">
        <v>74</v>
      </c>
      <c r="J13" s="2">
        <v>26</v>
      </c>
      <c r="K13" s="2">
        <v>57</v>
      </c>
      <c r="L13" s="2">
        <v>31369106</v>
      </c>
    </row>
    <row r="14" spans="1:13" x14ac:dyDescent="0.2">
      <c r="A14" s="2" t="s">
        <v>355</v>
      </c>
      <c r="B14" s="2" t="s">
        <v>361</v>
      </c>
      <c r="C14" s="2" t="s">
        <v>47</v>
      </c>
      <c r="D14" s="2" t="s">
        <v>362</v>
      </c>
      <c r="E14" s="2">
        <v>24.627800000000001</v>
      </c>
      <c r="F14" s="2">
        <v>10.657999999999999</v>
      </c>
      <c r="G14" s="2">
        <v>2009</v>
      </c>
      <c r="H14" s="2">
        <v>2012</v>
      </c>
      <c r="I14" s="2" t="s">
        <v>73</v>
      </c>
      <c r="J14" s="2">
        <v>10</v>
      </c>
      <c r="K14" s="2">
        <v>73</v>
      </c>
      <c r="L14" s="2">
        <v>31369106</v>
      </c>
    </row>
    <row r="15" spans="1:13" x14ac:dyDescent="0.2">
      <c r="A15" s="2" t="s">
        <v>355</v>
      </c>
      <c r="B15" s="2" t="s">
        <v>361</v>
      </c>
      <c r="C15" s="2" t="s">
        <v>47</v>
      </c>
      <c r="D15" s="2" t="s">
        <v>362</v>
      </c>
      <c r="E15" s="2">
        <v>24.627800000000001</v>
      </c>
      <c r="F15" s="2">
        <v>10.657999999999999</v>
      </c>
      <c r="G15" s="2">
        <v>2009</v>
      </c>
      <c r="H15" s="2">
        <v>2012</v>
      </c>
      <c r="I15" s="2" t="s">
        <v>71</v>
      </c>
      <c r="J15" s="2">
        <v>63</v>
      </c>
      <c r="K15" s="2">
        <v>73</v>
      </c>
      <c r="L15" s="2">
        <v>31369106</v>
      </c>
    </row>
    <row r="16" spans="1:13" x14ac:dyDescent="0.2">
      <c r="A16" s="2" t="s">
        <v>355</v>
      </c>
      <c r="B16" s="2" t="s">
        <v>361</v>
      </c>
      <c r="C16" s="2" t="s">
        <v>47</v>
      </c>
      <c r="D16" s="2" t="s">
        <v>362</v>
      </c>
      <c r="E16" s="2">
        <v>24.627800000000001</v>
      </c>
      <c r="F16" s="2">
        <v>10.657999999999999</v>
      </c>
      <c r="G16" s="2">
        <v>2009</v>
      </c>
      <c r="H16" s="2">
        <v>2012</v>
      </c>
      <c r="I16" s="2" t="s">
        <v>76</v>
      </c>
      <c r="J16" s="2">
        <v>19</v>
      </c>
      <c r="K16" s="2">
        <v>71</v>
      </c>
      <c r="L16" s="2">
        <v>31369106</v>
      </c>
    </row>
    <row r="17" spans="1:13" x14ac:dyDescent="0.2">
      <c r="A17" s="2" t="s">
        <v>355</v>
      </c>
      <c r="B17" s="2" t="s">
        <v>361</v>
      </c>
      <c r="C17" s="2" t="s">
        <v>47</v>
      </c>
      <c r="D17" s="2" t="s">
        <v>362</v>
      </c>
      <c r="E17" s="2">
        <v>24.627800000000001</v>
      </c>
      <c r="F17" s="2">
        <v>10.657999999999999</v>
      </c>
      <c r="G17" s="2">
        <v>2009</v>
      </c>
      <c r="H17" s="2">
        <v>2012</v>
      </c>
      <c r="I17" s="2" t="s">
        <v>74</v>
      </c>
      <c r="J17" s="2">
        <v>52</v>
      </c>
      <c r="K17" s="2">
        <v>71</v>
      </c>
      <c r="L17" s="2">
        <v>31369106</v>
      </c>
    </row>
    <row r="18" spans="1:13" x14ac:dyDescent="0.2">
      <c r="A18" s="2" t="s">
        <v>355</v>
      </c>
      <c r="B18" s="2" t="s">
        <v>363</v>
      </c>
      <c r="C18" s="2" t="s">
        <v>364</v>
      </c>
      <c r="D18" s="2" t="s">
        <v>365</v>
      </c>
      <c r="E18" s="2">
        <v>32.487299999999998</v>
      </c>
      <c r="F18" s="2">
        <v>10.1241</v>
      </c>
      <c r="G18" s="2">
        <v>2009</v>
      </c>
      <c r="H18" s="2">
        <v>2012</v>
      </c>
      <c r="I18" s="2" t="s">
        <v>73</v>
      </c>
      <c r="J18" s="2">
        <v>23</v>
      </c>
      <c r="K18" s="2">
        <v>68</v>
      </c>
      <c r="L18" s="2">
        <v>31369106</v>
      </c>
      <c r="M18" s="2" t="s">
        <v>366</v>
      </c>
    </row>
    <row r="19" spans="1:13" x14ac:dyDescent="0.2">
      <c r="A19" s="2" t="s">
        <v>355</v>
      </c>
      <c r="B19" s="2" t="s">
        <v>363</v>
      </c>
      <c r="C19" s="2" t="s">
        <v>364</v>
      </c>
      <c r="D19" s="2" t="s">
        <v>365</v>
      </c>
      <c r="E19" s="2">
        <v>32.487299999999998</v>
      </c>
      <c r="F19" s="2">
        <v>10.1241</v>
      </c>
      <c r="G19" s="2">
        <v>2009</v>
      </c>
      <c r="H19" s="2">
        <v>2012</v>
      </c>
      <c r="I19" s="2" t="s">
        <v>71</v>
      </c>
      <c r="J19" s="2">
        <v>45</v>
      </c>
      <c r="K19" s="2">
        <v>68</v>
      </c>
      <c r="L19" s="2">
        <v>31369106</v>
      </c>
    </row>
    <row r="20" spans="1:13" x14ac:dyDescent="0.2">
      <c r="A20" s="2" t="s">
        <v>355</v>
      </c>
      <c r="B20" s="2" t="s">
        <v>363</v>
      </c>
      <c r="C20" s="2" t="s">
        <v>364</v>
      </c>
      <c r="D20" s="2" t="s">
        <v>365</v>
      </c>
      <c r="E20" s="2">
        <v>32.487299999999998</v>
      </c>
      <c r="F20" s="2">
        <v>10.1241</v>
      </c>
      <c r="G20" s="2">
        <v>2009</v>
      </c>
      <c r="H20" s="2">
        <v>2012</v>
      </c>
      <c r="I20" s="2" t="s">
        <v>76</v>
      </c>
      <c r="J20" s="2">
        <v>39</v>
      </c>
      <c r="K20" s="2">
        <v>74</v>
      </c>
      <c r="L20" s="2">
        <v>31369106</v>
      </c>
    </row>
    <row r="21" spans="1:13" x14ac:dyDescent="0.2">
      <c r="A21" s="2" t="s">
        <v>355</v>
      </c>
      <c r="B21" s="2" t="s">
        <v>363</v>
      </c>
      <c r="C21" s="2" t="s">
        <v>364</v>
      </c>
      <c r="D21" s="2" t="s">
        <v>365</v>
      </c>
      <c r="E21" s="2">
        <v>32.487299999999998</v>
      </c>
      <c r="F21" s="2">
        <v>10.1241</v>
      </c>
      <c r="G21" s="2">
        <v>2009</v>
      </c>
      <c r="H21" s="2">
        <v>2012</v>
      </c>
      <c r="I21" s="2" t="s">
        <v>74</v>
      </c>
      <c r="J21" s="2">
        <v>35</v>
      </c>
      <c r="K21" s="2">
        <v>74</v>
      </c>
      <c r="L21" s="2">
        <v>31369106</v>
      </c>
    </row>
  </sheetData>
  <sortState xmlns:xlrd2="http://schemas.microsoft.com/office/spreadsheetml/2017/richdata2" ref="A2:M21">
    <sortCondition ref="B2:B21"/>
    <sortCondition ref="G2:G21"/>
    <sortCondition ref="H2:H21"/>
    <sortCondition ref="I2:I2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48968-5A71-F04D-9E29-E42D476458C6}">
  <dimension ref="A1:M5"/>
  <sheetViews>
    <sheetView workbookViewId="0">
      <selection activeCell="M1" sqref="M1"/>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79</v>
      </c>
      <c r="B2" t="s">
        <v>80</v>
      </c>
      <c r="C2" t="s">
        <v>7</v>
      </c>
      <c r="D2" t="s">
        <v>81</v>
      </c>
      <c r="E2">
        <v>-4.2917699999999996</v>
      </c>
      <c r="F2">
        <v>11.178100000000001</v>
      </c>
      <c r="G2">
        <v>2005</v>
      </c>
      <c r="H2">
        <v>2005</v>
      </c>
      <c r="I2" t="s">
        <v>73</v>
      </c>
      <c r="J2">
        <v>36</v>
      </c>
      <c r="K2">
        <v>50</v>
      </c>
      <c r="L2">
        <v>17292769</v>
      </c>
    </row>
    <row r="3" spans="1:13" x14ac:dyDescent="0.2">
      <c r="A3" t="s">
        <v>79</v>
      </c>
      <c r="B3" t="s">
        <v>80</v>
      </c>
      <c r="C3" t="s">
        <v>7</v>
      </c>
      <c r="D3" t="s">
        <v>81</v>
      </c>
      <c r="E3">
        <v>-4.2917699999999996</v>
      </c>
      <c r="F3">
        <v>11.178100000000001</v>
      </c>
      <c r="G3">
        <v>2005</v>
      </c>
      <c r="H3">
        <v>2005</v>
      </c>
      <c r="I3" t="s">
        <v>71</v>
      </c>
      <c r="J3">
        <v>14</v>
      </c>
      <c r="K3">
        <v>50</v>
      </c>
      <c r="L3">
        <v>17292769</v>
      </c>
      <c r="M3" t="s">
        <v>316</v>
      </c>
    </row>
    <row r="4" spans="1:13" x14ac:dyDescent="0.2">
      <c r="A4" t="s">
        <v>79</v>
      </c>
      <c r="B4" t="s">
        <v>80</v>
      </c>
      <c r="C4" t="s">
        <v>7</v>
      </c>
      <c r="D4" t="s">
        <v>81</v>
      </c>
      <c r="E4">
        <v>-4.2917699999999996</v>
      </c>
      <c r="F4">
        <v>11.178100000000001</v>
      </c>
      <c r="G4">
        <v>2005</v>
      </c>
      <c r="H4">
        <v>2005</v>
      </c>
      <c r="I4" t="s">
        <v>76</v>
      </c>
      <c r="J4">
        <v>43</v>
      </c>
      <c r="K4">
        <v>50</v>
      </c>
      <c r="L4">
        <v>17292769</v>
      </c>
    </row>
    <row r="5" spans="1:13" x14ac:dyDescent="0.2">
      <c r="A5" t="s">
        <v>79</v>
      </c>
      <c r="B5" t="s">
        <v>80</v>
      </c>
      <c r="C5" t="s">
        <v>7</v>
      </c>
      <c r="D5" t="s">
        <v>81</v>
      </c>
      <c r="E5">
        <v>-4.2917699999999996</v>
      </c>
      <c r="F5">
        <v>11.178100000000001</v>
      </c>
      <c r="G5">
        <v>2005</v>
      </c>
      <c r="H5">
        <v>2005</v>
      </c>
      <c r="I5" t="s">
        <v>74</v>
      </c>
      <c r="J5">
        <v>7</v>
      </c>
      <c r="K5">
        <v>50</v>
      </c>
      <c r="L5">
        <v>17292769</v>
      </c>
      <c r="M5" t="s">
        <v>316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2745-2A19-F94E-877D-558C71B35247}">
  <dimension ref="A1:M7"/>
  <sheetViews>
    <sheetView workbookViewId="0">
      <selection activeCell="H15" sqref="H15"/>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174</v>
      </c>
      <c r="B2" t="s">
        <v>175</v>
      </c>
      <c r="C2" t="s">
        <v>160</v>
      </c>
      <c r="D2" t="s">
        <v>165</v>
      </c>
      <c r="E2">
        <v>-15.617800000000001</v>
      </c>
      <c r="F2">
        <v>11.8817</v>
      </c>
      <c r="G2">
        <v>2014</v>
      </c>
      <c r="H2">
        <v>2016</v>
      </c>
      <c r="I2" t="s">
        <v>71</v>
      </c>
      <c r="J2">
        <v>138</v>
      </c>
      <c r="K2">
        <v>317</v>
      </c>
      <c r="L2">
        <v>28546554</v>
      </c>
      <c r="M2" t="s">
        <v>367</v>
      </c>
    </row>
    <row r="3" spans="1:13" x14ac:dyDescent="0.2">
      <c r="A3" t="s">
        <v>174</v>
      </c>
      <c r="B3" t="s">
        <v>175</v>
      </c>
      <c r="C3" t="s">
        <v>160</v>
      </c>
      <c r="D3" t="s">
        <v>165</v>
      </c>
      <c r="E3">
        <v>-15.617800000000001</v>
      </c>
      <c r="F3">
        <v>11.8817</v>
      </c>
      <c r="G3">
        <v>2014</v>
      </c>
      <c r="H3">
        <v>2016</v>
      </c>
      <c r="I3" t="s">
        <v>73</v>
      </c>
      <c r="J3">
        <v>151</v>
      </c>
      <c r="K3">
        <v>317</v>
      </c>
      <c r="L3">
        <v>28546554</v>
      </c>
      <c r="M3" t="s">
        <v>367</v>
      </c>
    </row>
    <row r="4" spans="1:13" x14ac:dyDescent="0.2">
      <c r="A4" t="s">
        <v>174</v>
      </c>
      <c r="B4" t="s">
        <v>175</v>
      </c>
      <c r="C4" t="s">
        <v>160</v>
      </c>
      <c r="D4" t="s">
        <v>165</v>
      </c>
      <c r="E4">
        <v>-15.617800000000001</v>
      </c>
      <c r="F4">
        <v>11.8817</v>
      </c>
      <c r="G4">
        <v>2014</v>
      </c>
      <c r="H4">
        <v>2016</v>
      </c>
      <c r="I4" t="s">
        <v>72</v>
      </c>
      <c r="J4">
        <v>28</v>
      </c>
      <c r="K4">
        <v>317</v>
      </c>
      <c r="L4">
        <v>28546554</v>
      </c>
      <c r="M4" t="s">
        <v>367</v>
      </c>
    </row>
    <row r="5" spans="1:13" x14ac:dyDescent="0.2">
      <c r="A5" t="s">
        <v>174</v>
      </c>
      <c r="B5" t="s">
        <v>175</v>
      </c>
      <c r="C5" t="s">
        <v>160</v>
      </c>
      <c r="D5" t="s">
        <v>165</v>
      </c>
      <c r="E5">
        <v>-15.617800000000001</v>
      </c>
      <c r="F5">
        <v>11.8817</v>
      </c>
      <c r="G5">
        <v>2014</v>
      </c>
      <c r="H5">
        <v>2016</v>
      </c>
      <c r="I5" t="s">
        <v>74</v>
      </c>
      <c r="J5">
        <v>23</v>
      </c>
      <c r="K5">
        <v>318</v>
      </c>
      <c r="L5">
        <v>28546554</v>
      </c>
      <c r="M5" t="s">
        <v>367</v>
      </c>
    </row>
    <row r="6" spans="1:13" x14ac:dyDescent="0.2">
      <c r="A6" t="s">
        <v>174</v>
      </c>
      <c r="B6" t="s">
        <v>175</v>
      </c>
      <c r="C6" t="s">
        <v>160</v>
      </c>
      <c r="D6" t="s">
        <v>165</v>
      </c>
      <c r="E6">
        <v>-15.617800000000001</v>
      </c>
      <c r="F6">
        <v>11.8817</v>
      </c>
      <c r="G6">
        <v>2014</v>
      </c>
      <c r="H6">
        <v>2016</v>
      </c>
      <c r="I6" t="s">
        <v>76</v>
      </c>
      <c r="J6">
        <v>287</v>
      </c>
      <c r="K6">
        <v>318</v>
      </c>
      <c r="L6">
        <v>28546554</v>
      </c>
      <c r="M6" t="s">
        <v>367</v>
      </c>
    </row>
    <row r="7" spans="1:13" x14ac:dyDescent="0.2">
      <c r="A7" t="s">
        <v>174</v>
      </c>
      <c r="B7" t="s">
        <v>175</v>
      </c>
      <c r="C7" t="s">
        <v>160</v>
      </c>
      <c r="D7" t="s">
        <v>165</v>
      </c>
      <c r="E7">
        <v>-15.617800000000001</v>
      </c>
      <c r="F7">
        <v>11.8817</v>
      </c>
      <c r="G7">
        <v>2014</v>
      </c>
      <c r="H7">
        <v>2016</v>
      </c>
      <c r="I7" t="s">
        <v>75</v>
      </c>
      <c r="J7">
        <v>8</v>
      </c>
      <c r="K7">
        <v>318</v>
      </c>
      <c r="L7">
        <v>28546554</v>
      </c>
      <c r="M7" t="s">
        <v>367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2EEC1-4EB6-4E4E-935D-F3971ABC8740}">
  <dimension ref="A1:M5"/>
  <sheetViews>
    <sheetView workbookViewId="0">
      <selection activeCell="L5" sqref="L5"/>
    </sheetView>
  </sheetViews>
  <sheetFormatPr baseColWidth="10" defaultRowHeight="16" x14ac:dyDescent="0.2"/>
  <cols>
    <col min="1" max="1" width="17" bestFit="1" customWidth="1"/>
    <col min="2" max="2" width="36.1640625" bestFit="1" customWidth="1"/>
    <col min="3" max="3" width="7.33203125" bestFit="1" customWidth="1"/>
    <col min="4" max="4" width="14.5" bestFit="1" customWidth="1"/>
    <col min="5" max="5" width="8.83203125" bestFit="1" customWidth="1"/>
    <col min="6" max="6" width="8.1640625" bestFit="1" customWidth="1"/>
    <col min="7" max="7" width="10.1640625" bestFit="1" customWidth="1"/>
    <col min="8" max="8" width="9.33203125" bestFit="1" customWidth="1"/>
    <col min="9" max="9" width="12.1640625" bestFit="1" customWidth="1"/>
    <col min="10" max="10" width="7.33203125" bestFit="1" customWidth="1"/>
    <col min="11" max="11" width="6.33203125" bestFit="1" customWidth="1"/>
    <col min="12" max="12" width="9.1640625" bestFit="1" customWidth="1"/>
    <col min="13" max="13" width="5.6640625" bestFit="1" customWidth="1"/>
  </cols>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311</v>
      </c>
      <c r="B2" t="s">
        <v>312</v>
      </c>
      <c r="C2" t="s">
        <v>13</v>
      </c>
      <c r="D2" t="s">
        <v>313</v>
      </c>
      <c r="E2">
        <v>-7.9083500000000004</v>
      </c>
      <c r="F2">
        <v>11.996700000000001</v>
      </c>
      <c r="G2">
        <v>2014</v>
      </c>
      <c r="H2">
        <v>2014</v>
      </c>
      <c r="I2" t="s">
        <v>73</v>
      </c>
      <c r="J2">
        <v>25</v>
      </c>
      <c r="K2">
        <v>87</v>
      </c>
      <c r="L2">
        <v>35135546</v>
      </c>
      <c r="M2" t="s">
        <v>317</v>
      </c>
    </row>
    <row r="3" spans="1:13" x14ac:dyDescent="0.2">
      <c r="A3" t="s">
        <v>311</v>
      </c>
      <c r="B3" t="s">
        <v>312</v>
      </c>
      <c r="C3" t="s">
        <v>13</v>
      </c>
      <c r="D3" t="s">
        <v>313</v>
      </c>
      <c r="E3">
        <v>-7.9083500000000004</v>
      </c>
      <c r="F3">
        <v>11.996700000000001</v>
      </c>
      <c r="G3">
        <v>2014</v>
      </c>
      <c r="H3">
        <v>2014</v>
      </c>
      <c r="I3" t="s">
        <v>71</v>
      </c>
      <c r="J3">
        <v>62</v>
      </c>
      <c r="K3">
        <v>87</v>
      </c>
      <c r="L3">
        <v>35135546</v>
      </c>
    </row>
    <row r="4" spans="1:13" x14ac:dyDescent="0.2">
      <c r="A4" t="s">
        <v>311</v>
      </c>
      <c r="B4" t="s">
        <v>312</v>
      </c>
      <c r="C4" t="s">
        <v>13</v>
      </c>
      <c r="D4" t="s">
        <v>313</v>
      </c>
      <c r="E4">
        <v>-7.9083500000000004</v>
      </c>
      <c r="F4">
        <v>11.996700000000001</v>
      </c>
      <c r="G4">
        <v>2014</v>
      </c>
      <c r="H4">
        <v>2014</v>
      </c>
      <c r="I4" t="s">
        <v>76</v>
      </c>
      <c r="J4">
        <v>84</v>
      </c>
      <c r="K4">
        <v>89</v>
      </c>
      <c r="L4">
        <v>35135546</v>
      </c>
    </row>
    <row r="5" spans="1:13" x14ac:dyDescent="0.2">
      <c r="A5" t="s">
        <v>311</v>
      </c>
      <c r="B5" t="s">
        <v>312</v>
      </c>
      <c r="C5" t="s">
        <v>13</v>
      </c>
      <c r="D5" t="s">
        <v>313</v>
      </c>
      <c r="E5">
        <v>-7.9083500000000004</v>
      </c>
      <c r="F5">
        <v>11.996700000000001</v>
      </c>
      <c r="G5">
        <v>2014</v>
      </c>
      <c r="H5">
        <v>2014</v>
      </c>
      <c r="I5" t="s">
        <v>74</v>
      </c>
      <c r="J5">
        <v>5</v>
      </c>
      <c r="K5">
        <v>89</v>
      </c>
      <c r="L5">
        <v>35135546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6ECE-EF4F-D749-B133-C63144ADEDB5}">
  <dimension ref="A1:M33"/>
  <sheetViews>
    <sheetView workbookViewId="0">
      <selection activeCell="I24" sqref="I24"/>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101</v>
      </c>
      <c r="B2" t="s">
        <v>102</v>
      </c>
      <c r="C2" t="s">
        <v>28</v>
      </c>
      <c r="D2" t="s">
        <v>28</v>
      </c>
      <c r="E2">
        <v>8.7669999999999995</v>
      </c>
      <c r="F2">
        <v>3.73203</v>
      </c>
      <c r="G2">
        <v>1999</v>
      </c>
      <c r="H2">
        <v>1999</v>
      </c>
      <c r="I2" t="s">
        <v>74</v>
      </c>
      <c r="J2">
        <v>37</v>
      </c>
      <c r="K2">
        <v>60</v>
      </c>
      <c r="L2">
        <v>34906159</v>
      </c>
    </row>
    <row r="3" spans="1:13" x14ac:dyDescent="0.2">
      <c r="A3" t="s">
        <v>101</v>
      </c>
      <c r="B3" t="s">
        <v>102</v>
      </c>
      <c r="C3" t="s">
        <v>28</v>
      </c>
      <c r="D3" t="s">
        <v>28</v>
      </c>
      <c r="E3">
        <v>8.7669999999999995</v>
      </c>
      <c r="F3">
        <v>3.73203</v>
      </c>
      <c r="G3">
        <v>1999</v>
      </c>
      <c r="H3">
        <v>1999</v>
      </c>
      <c r="I3" t="s">
        <v>76</v>
      </c>
      <c r="J3">
        <v>23</v>
      </c>
      <c r="K3">
        <v>60</v>
      </c>
      <c r="L3">
        <v>34906159</v>
      </c>
    </row>
    <row r="4" spans="1:13" x14ac:dyDescent="0.2">
      <c r="A4" t="s">
        <v>101</v>
      </c>
      <c r="B4" t="s">
        <v>102</v>
      </c>
      <c r="C4" t="s">
        <v>28</v>
      </c>
      <c r="D4" t="s">
        <v>28</v>
      </c>
      <c r="E4">
        <v>8.7669999999999995</v>
      </c>
      <c r="F4">
        <v>3.73203</v>
      </c>
      <c r="G4">
        <v>1999</v>
      </c>
      <c r="H4">
        <v>1999</v>
      </c>
      <c r="I4" t="s">
        <v>71</v>
      </c>
      <c r="J4">
        <v>43</v>
      </c>
      <c r="K4">
        <v>60</v>
      </c>
      <c r="L4">
        <v>34906159</v>
      </c>
    </row>
    <row r="5" spans="1:13" x14ac:dyDescent="0.2">
      <c r="A5" t="s">
        <v>101</v>
      </c>
      <c r="B5" t="s">
        <v>102</v>
      </c>
      <c r="C5" t="s">
        <v>28</v>
      </c>
      <c r="D5" t="s">
        <v>28</v>
      </c>
      <c r="E5">
        <v>8.7669999999999995</v>
      </c>
      <c r="F5">
        <v>3.73203</v>
      </c>
      <c r="G5">
        <v>1999</v>
      </c>
      <c r="H5">
        <v>1999</v>
      </c>
      <c r="I5" t="s">
        <v>73</v>
      </c>
      <c r="J5">
        <v>17</v>
      </c>
      <c r="K5">
        <v>60</v>
      </c>
      <c r="L5">
        <v>34906159</v>
      </c>
    </row>
    <row r="6" spans="1:13" x14ac:dyDescent="0.2">
      <c r="A6" t="s">
        <v>101</v>
      </c>
      <c r="B6" t="s">
        <v>103</v>
      </c>
      <c r="C6" t="s">
        <v>28</v>
      </c>
      <c r="D6" t="s">
        <v>28</v>
      </c>
      <c r="E6">
        <v>8.7669999999999995</v>
      </c>
      <c r="F6">
        <v>3.73203</v>
      </c>
      <c r="G6">
        <v>2001</v>
      </c>
      <c r="H6">
        <v>2001</v>
      </c>
      <c r="I6" t="s">
        <v>74</v>
      </c>
      <c r="J6">
        <v>98</v>
      </c>
      <c r="K6">
        <v>102</v>
      </c>
      <c r="L6">
        <v>34906159</v>
      </c>
    </row>
    <row r="7" spans="1:13" x14ac:dyDescent="0.2">
      <c r="A7" t="s">
        <v>101</v>
      </c>
      <c r="B7" t="s">
        <v>103</v>
      </c>
      <c r="C7" t="s">
        <v>28</v>
      </c>
      <c r="D7" t="s">
        <v>28</v>
      </c>
      <c r="E7">
        <v>8.7669999999999995</v>
      </c>
      <c r="F7">
        <v>3.73203</v>
      </c>
      <c r="G7">
        <v>2001</v>
      </c>
      <c r="H7">
        <v>2001</v>
      </c>
      <c r="I7" t="s">
        <v>76</v>
      </c>
      <c r="J7">
        <v>4</v>
      </c>
      <c r="K7">
        <v>102</v>
      </c>
      <c r="L7">
        <v>34906159</v>
      </c>
    </row>
    <row r="8" spans="1:13" x14ac:dyDescent="0.2">
      <c r="A8" t="s">
        <v>101</v>
      </c>
      <c r="B8" t="s">
        <v>103</v>
      </c>
      <c r="C8" t="s">
        <v>28</v>
      </c>
      <c r="D8" t="s">
        <v>28</v>
      </c>
      <c r="E8">
        <v>8.7669999999999995</v>
      </c>
      <c r="F8">
        <v>3.73203</v>
      </c>
      <c r="G8">
        <v>2001</v>
      </c>
      <c r="H8">
        <v>2001</v>
      </c>
      <c r="I8" t="s">
        <v>71</v>
      </c>
      <c r="J8">
        <v>87</v>
      </c>
      <c r="K8">
        <v>102</v>
      </c>
      <c r="L8">
        <v>34906159</v>
      </c>
    </row>
    <row r="9" spans="1:13" x14ac:dyDescent="0.2">
      <c r="A9" t="s">
        <v>101</v>
      </c>
      <c r="B9" t="s">
        <v>103</v>
      </c>
      <c r="C9" t="s">
        <v>28</v>
      </c>
      <c r="D9" t="s">
        <v>28</v>
      </c>
      <c r="E9">
        <v>8.7669999999999995</v>
      </c>
      <c r="F9">
        <v>3.73203</v>
      </c>
      <c r="G9">
        <v>2001</v>
      </c>
      <c r="H9">
        <v>2001</v>
      </c>
      <c r="I9" t="s">
        <v>73</v>
      </c>
      <c r="J9">
        <v>15</v>
      </c>
      <c r="K9">
        <v>102</v>
      </c>
      <c r="L9">
        <v>34906159</v>
      </c>
      <c r="M9" t="s">
        <v>318</v>
      </c>
    </row>
    <row r="10" spans="1:13" x14ac:dyDescent="0.2">
      <c r="A10" t="s">
        <v>101</v>
      </c>
      <c r="B10" t="s">
        <v>104</v>
      </c>
      <c r="C10" t="s">
        <v>28</v>
      </c>
      <c r="D10" t="s">
        <v>28</v>
      </c>
      <c r="E10">
        <v>8.7669999999999995</v>
      </c>
      <c r="F10">
        <v>3.73203</v>
      </c>
      <c r="G10">
        <v>2004</v>
      </c>
      <c r="H10">
        <v>2005</v>
      </c>
      <c r="I10" t="s">
        <v>74</v>
      </c>
      <c r="J10">
        <v>220</v>
      </c>
      <c r="K10">
        <v>262</v>
      </c>
      <c r="L10">
        <v>34906159</v>
      </c>
    </row>
    <row r="11" spans="1:13" x14ac:dyDescent="0.2">
      <c r="A11" t="s">
        <v>101</v>
      </c>
      <c r="B11" t="s">
        <v>104</v>
      </c>
      <c r="C11" t="s">
        <v>28</v>
      </c>
      <c r="D11" t="s">
        <v>28</v>
      </c>
      <c r="E11">
        <v>8.7669999999999995</v>
      </c>
      <c r="F11">
        <v>3.73203</v>
      </c>
      <c r="G11">
        <v>2004</v>
      </c>
      <c r="H11">
        <v>2005</v>
      </c>
      <c r="I11" t="s">
        <v>76</v>
      </c>
      <c r="J11">
        <v>42</v>
      </c>
      <c r="K11">
        <v>262</v>
      </c>
      <c r="L11">
        <v>34906159</v>
      </c>
    </row>
    <row r="12" spans="1:13" x14ac:dyDescent="0.2">
      <c r="A12" t="s">
        <v>101</v>
      </c>
      <c r="B12" t="s">
        <v>104</v>
      </c>
      <c r="C12" t="s">
        <v>28</v>
      </c>
      <c r="D12" t="s">
        <v>28</v>
      </c>
      <c r="E12">
        <v>8.7669999999999995</v>
      </c>
      <c r="F12">
        <v>3.73203</v>
      </c>
      <c r="G12">
        <v>2004</v>
      </c>
      <c r="H12">
        <v>2005</v>
      </c>
      <c r="I12" t="s">
        <v>71</v>
      </c>
      <c r="J12">
        <v>200</v>
      </c>
      <c r="K12">
        <v>262</v>
      </c>
      <c r="L12">
        <v>34906159</v>
      </c>
    </row>
    <row r="13" spans="1:13" x14ac:dyDescent="0.2">
      <c r="A13" t="s">
        <v>101</v>
      </c>
      <c r="B13" t="s">
        <v>104</v>
      </c>
      <c r="C13" t="s">
        <v>28</v>
      </c>
      <c r="D13" t="s">
        <v>28</v>
      </c>
      <c r="E13">
        <v>8.7669999999999995</v>
      </c>
      <c r="F13">
        <v>3.73203</v>
      </c>
      <c r="G13">
        <v>2004</v>
      </c>
      <c r="H13">
        <v>2005</v>
      </c>
      <c r="I13" t="s">
        <v>73</v>
      </c>
      <c r="J13">
        <v>62</v>
      </c>
      <c r="K13">
        <v>262</v>
      </c>
      <c r="L13">
        <v>34906159</v>
      </c>
    </row>
    <row r="14" spans="1:13" x14ac:dyDescent="0.2">
      <c r="A14" t="s">
        <v>101</v>
      </c>
      <c r="B14" t="s">
        <v>105</v>
      </c>
      <c r="C14" t="s">
        <v>28</v>
      </c>
      <c r="D14" t="s">
        <v>28</v>
      </c>
      <c r="E14">
        <v>8.7669999999999995</v>
      </c>
      <c r="F14">
        <v>3.73203</v>
      </c>
      <c r="G14">
        <v>2006</v>
      </c>
      <c r="H14">
        <v>2006</v>
      </c>
      <c r="I14" t="s">
        <v>74</v>
      </c>
      <c r="J14">
        <v>113</v>
      </c>
      <c r="K14">
        <v>158</v>
      </c>
      <c r="L14">
        <v>34906159</v>
      </c>
    </row>
    <row r="15" spans="1:13" x14ac:dyDescent="0.2">
      <c r="A15" t="s">
        <v>101</v>
      </c>
      <c r="B15" t="s">
        <v>105</v>
      </c>
      <c r="C15" t="s">
        <v>28</v>
      </c>
      <c r="D15" t="s">
        <v>28</v>
      </c>
      <c r="E15">
        <v>8.7669999999999995</v>
      </c>
      <c r="F15">
        <v>3.73203</v>
      </c>
      <c r="G15">
        <v>2006</v>
      </c>
      <c r="H15">
        <v>2006</v>
      </c>
      <c r="I15" t="s">
        <v>76</v>
      </c>
      <c r="J15">
        <v>45</v>
      </c>
      <c r="K15">
        <v>158</v>
      </c>
      <c r="L15">
        <v>34906159</v>
      </c>
    </row>
    <row r="16" spans="1:13" x14ac:dyDescent="0.2">
      <c r="A16" t="s">
        <v>101</v>
      </c>
      <c r="B16" t="s">
        <v>105</v>
      </c>
      <c r="C16" t="s">
        <v>28</v>
      </c>
      <c r="D16" t="s">
        <v>28</v>
      </c>
      <c r="E16">
        <v>8.7669999999999995</v>
      </c>
      <c r="F16">
        <v>3.73203</v>
      </c>
      <c r="G16">
        <v>2006</v>
      </c>
      <c r="H16">
        <v>2006</v>
      </c>
      <c r="I16" t="s">
        <v>71</v>
      </c>
      <c r="J16">
        <v>107</v>
      </c>
      <c r="K16">
        <v>158</v>
      </c>
      <c r="L16">
        <v>34906159</v>
      </c>
    </row>
    <row r="17" spans="1:12" x14ac:dyDescent="0.2">
      <c r="A17" t="s">
        <v>101</v>
      </c>
      <c r="B17" t="s">
        <v>105</v>
      </c>
      <c r="C17" t="s">
        <v>28</v>
      </c>
      <c r="D17" t="s">
        <v>28</v>
      </c>
      <c r="E17">
        <v>8.7669999999999995</v>
      </c>
      <c r="F17">
        <v>3.73203</v>
      </c>
      <c r="G17">
        <v>2006</v>
      </c>
      <c r="H17">
        <v>2006</v>
      </c>
      <c r="I17" t="s">
        <v>73</v>
      </c>
      <c r="J17">
        <v>51</v>
      </c>
      <c r="K17">
        <v>158</v>
      </c>
      <c r="L17">
        <v>34906159</v>
      </c>
    </row>
    <row r="18" spans="1:12" x14ac:dyDescent="0.2">
      <c r="A18" t="s">
        <v>101</v>
      </c>
      <c r="B18" t="s">
        <v>106</v>
      </c>
      <c r="C18" t="s">
        <v>28</v>
      </c>
      <c r="D18" t="s">
        <v>28</v>
      </c>
      <c r="E18">
        <v>8.7669999999999995</v>
      </c>
      <c r="F18">
        <v>3.73203</v>
      </c>
      <c r="G18">
        <v>2011</v>
      </c>
      <c r="H18">
        <v>2011</v>
      </c>
      <c r="I18" t="s">
        <v>74</v>
      </c>
      <c r="J18">
        <v>114</v>
      </c>
      <c r="K18">
        <v>163</v>
      </c>
      <c r="L18">
        <v>34906159</v>
      </c>
    </row>
    <row r="19" spans="1:12" x14ac:dyDescent="0.2">
      <c r="A19" t="s">
        <v>101</v>
      </c>
      <c r="B19" t="s">
        <v>106</v>
      </c>
      <c r="C19" t="s">
        <v>28</v>
      </c>
      <c r="D19" t="s">
        <v>28</v>
      </c>
      <c r="E19">
        <v>8.7669999999999995</v>
      </c>
      <c r="F19">
        <v>3.73203</v>
      </c>
      <c r="G19">
        <v>2011</v>
      </c>
      <c r="H19">
        <v>2011</v>
      </c>
      <c r="I19" t="s">
        <v>76</v>
      </c>
      <c r="J19">
        <v>49</v>
      </c>
      <c r="K19">
        <v>163</v>
      </c>
      <c r="L19">
        <v>34906159</v>
      </c>
    </row>
    <row r="20" spans="1:12" x14ac:dyDescent="0.2">
      <c r="A20" t="s">
        <v>101</v>
      </c>
      <c r="B20" t="s">
        <v>106</v>
      </c>
      <c r="C20" t="s">
        <v>28</v>
      </c>
      <c r="D20" t="s">
        <v>28</v>
      </c>
      <c r="E20">
        <v>8.7669999999999995</v>
      </c>
      <c r="F20">
        <v>3.73203</v>
      </c>
      <c r="G20">
        <v>2011</v>
      </c>
      <c r="H20">
        <v>2011</v>
      </c>
      <c r="I20" t="s">
        <v>71</v>
      </c>
      <c r="J20">
        <v>114</v>
      </c>
      <c r="K20">
        <v>163</v>
      </c>
      <c r="L20">
        <v>34906159</v>
      </c>
    </row>
    <row r="21" spans="1:12" x14ac:dyDescent="0.2">
      <c r="A21" t="s">
        <v>101</v>
      </c>
      <c r="B21" t="s">
        <v>106</v>
      </c>
      <c r="C21" t="s">
        <v>28</v>
      </c>
      <c r="D21" t="s">
        <v>28</v>
      </c>
      <c r="E21">
        <v>8.7669999999999995</v>
      </c>
      <c r="F21">
        <v>3.73203</v>
      </c>
      <c r="G21">
        <v>2011</v>
      </c>
      <c r="H21">
        <v>2011</v>
      </c>
      <c r="I21" t="s">
        <v>73</v>
      </c>
      <c r="J21">
        <v>49</v>
      </c>
      <c r="K21">
        <v>163</v>
      </c>
      <c r="L21">
        <v>34906159</v>
      </c>
    </row>
    <row r="22" spans="1:12" x14ac:dyDescent="0.2">
      <c r="A22" t="s">
        <v>101</v>
      </c>
      <c r="B22" t="s">
        <v>107</v>
      </c>
      <c r="C22" t="s">
        <v>28</v>
      </c>
      <c r="D22" t="s">
        <v>28</v>
      </c>
      <c r="E22">
        <v>8.7669999999999995</v>
      </c>
      <c r="F22">
        <v>3.73203</v>
      </c>
      <c r="G22">
        <v>2013</v>
      </c>
      <c r="H22">
        <v>2013</v>
      </c>
      <c r="I22" t="s">
        <v>74</v>
      </c>
      <c r="J22">
        <v>125</v>
      </c>
      <c r="K22">
        <v>170</v>
      </c>
      <c r="L22">
        <v>34906159</v>
      </c>
    </row>
    <row r="23" spans="1:12" x14ac:dyDescent="0.2">
      <c r="A23" t="s">
        <v>101</v>
      </c>
      <c r="B23" t="s">
        <v>107</v>
      </c>
      <c r="C23" t="s">
        <v>28</v>
      </c>
      <c r="D23" t="s">
        <v>28</v>
      </c>
      <c r="E23">
        <v>8.7669999999999995</v>
      </c>
      <c r="F23">
        <v>3.73203</v>
      </c>
      <c r="G23">
        <v>2013</v>
      </c>
      <c r="H23">
        <v>2013</v>
      </c>
      <c r="I23" t="s">
        <v>76</v>
      </c>
      <c r="J23">
        <v>45</v>
      </c>
      <c r="K23">
        <v>170</v>
      </c>
      <c r="L23">
        <v>34906159</v>
      </c>
    </row>
    <row r="24" spans="1:12" x14ac:dyDescent="0.2">
      <c r="A24" t="s">
        <v>101</v>
      </c>
      <c r="B24" t="s">
        <v>107</v>
      </c>
      <c r="C24" t="s">
        <v>28</v>
      </c>
      <c r="D24" t="s">
        <v>28</v>
      </c>
      <c r="E24">
        <v>8.7669999999999995</v>
      </c>
      <c r="F24">
        <v>3.73203</v>
      </c>
      <c r="G24">
        <v>2013</v>
      </c>
      <c r="H24">
        <v>2013</v>
      </c>
      <c r="I24" t="s">
        <v>71</v>
      </c>
      <c r="J24">
        <v>109</v>
      </c>
      <c r="K24">
        <v>170</v>
      </c>
      <c r="L24">
        <v>34906159</v>
      </c>
    </row>
    <row r="25" spans="1:12" x14ac:dyDescent="0.2">
      <c r="A25" t="s">
        <v>101</v>
      </c>
      <c r="B25" t="s">
        <v>107</v>
      </c>
      <c r="C25" t="s">
        <v>28</v>
      </c>
      <c r="D25" t="s">
        <v>28</v>
      </c>
      <c r="E25">
        <v>8.7669999999999995</v>
      </c>
      <c r="F25">
        <v>3.73203</v>
      </c>
      <c r="G25">
        <v>2013</v>
      </c>
      <c r="H25">
        <v>2013</v>
      </c>
      <c r="I25" t="s">
        <v>73</v>
      </c>
      <c r="J25">
        <v>61</v>
      </c>
      <c r="K25">
        <v>170</v>
      </c>
      <c r="L25">
        <v>34906159</v>
      </c>
    </row>
    <row r="26" spans="1:12" x14ac:dyDescent="0.2">
      <c r="A26" t="s">
        <v>101</v>
      </c>
      <c r="B26" t="s">
        <v>108</v>
      </c>
      <c r="C26" t="s">
        <v>28</v>
      </c>
      <c r="D26" t="s">
        <v>28</v>
      </c>
      <c r="E26">
        <v>8.7669999999999995</v>
      </c>
      <c r="F26">
        <v>3.73203</v>
      </c>
      <c r="G26">
        <v>2016</v>
      </c>
      <c r="H26">
        <v>2016</v>
      </c>
      <c r="I26" t="s">
        <v>74</v>
      </c>
      <c r="J26">
        <v>47</v>
      </c>
      <c r="K26">
        <v>169</v>
      </c>
      <c r="L26">
        <v>34906159</v>
      </c>
    </row>
    <row r="27" spans="1:12" x14ac:dyDescent="0.2">
      <c r="A27" t="s">
        <v>101</v>
      </c>
      <c r="B27" t="s">
        <v>108</v>
      </c>
      <c r="C27" t="s">
        <v>28</v>
      </c>
      <c r="D27" t="s">
        <v>28</v>
      </c>
      <c r="E27">
        <v>8.7669999999999995</v>
      </c>
      <c r="F27">
        <v>3.73203</v>
      </c>
      <c r="G27">
        <v>2016</v>
      </c>
      <c r="H27">
        <v>2016</v>
      </c>
      <c r="I27" t="s">
        <v>76</v>
      </c>
      <c r="J27">
        <v>122</v>
      </c>
      <c r="K27">
        <v>169</v>
      </c>
      <c r="L27">
        <v>34906159</v>
      </c>
    </row>
    <row r="28" spans="1:12" x14ac:dyDescent="0.2">
      <c r="A28" t="s">
        <v>101</v>
      </c>
      <c r="B28" t="s">
        <v>108</v>
      </c>
      <c r="C28" t="s">
        <v>28</v>
      </c>
      <c r="D28" t="s">
        <v>28</v>
      </c>
      <c r="E28">
        <v>8.7669999999999995</v>
      </c>
      <c r="F28">
        <v>3.73203</v>
      </c>
      <c r="G28">
        <v>2016</v>
      </c>
      <c r="H28">
        <v>2016</v>
      </c>
      <c r="I28" t="s">
        <v>71</v>
      </c>
      <c r="J28">
        <v>33</v>
      </c>
      <c r="K28">
        <v>169</v>
      </c>
      <c r="L28">
        <v>34906159</v>
      </c>
    </row>
    <row r="29" spans="1:12" x14ac:dyDescent="0.2">
      <c r="A29" t="s">
        <v>101</v>
      </c>
      <c r="B29" t="s">
        <v>108</v>
      </c>
      <c r="C29" t="s">
        <v>28</v>
      </c>
      <c r="D29" t="s">
        <v>28</v>
      </c>
      <c r="E29">
        <v>8.7669999999999995</v>
      </c>
      <c r="F29">
        <v>3.73203</v>
      </c>
      <c r="G29">
        <v>2016</v>
      </c>
      <c r="H29">
        <v>2016</v>
      </c>
      <c r="I29" t="s">
        <v>73</v>
      </c>
      <c r="J29">
        <v>136</v>
      </c>
      <c r="K29">
        <v>169</v>
      </c>
      <c r="L29">
        <v>34906159</v>
      </c>
    </row>
    <row r="30" spans="1:12" x14ac:dyDescent="0.2">
      <c r="A30" t="s">
        <v>101</v>
      </c>
      <c r="B30" t="s">
        <v>109</v>
      </c>
      <c r="C30" t="s">
        <v>28</v>
      </c>
      <c r="D30" t="s">
        <v>28</v>
      </c>
      <c r="E30">
        <v>8.7669999999999995</v>
      </c>
      <c r="F30">
        <v>3.73203</v>
      </c>
      <c r="G30">
        <v>2019</v>
      </c>
      <c r="H30">
        <v>2019</v>
      </c>
      <c r="I30" t="s">
        <v>74</v>
      </c>
      <c r="J30">
        <v>19</v>
      </c>
      <c r="K30">
        <v>139</v>
      </c>
      <c r="L30">
        <v>34906159</v>
      </c>
    </row>
    <row r="31" spans="1:12" x14ac:dyDescent="0.2">
      <c r="A31" t="s">
        <v>101</v>
      </c>
      <c r="B31" t="s">
        <v>109</v>
      </c>
      <c r="C31" t="s">
        <v>28</v>
      </c>
      <c r="D31" t="s">
        <v>28</v>
      </c>
      <c r="E31">
        <v>8.7669999999999995</v>
      </c>
      <c r="F31">
        <v>3.73203</v>
      </c>
      <c r="G31">
        <v>2019</v>
      </c>
      <c r="H31">
        <v>2019</v>
      </c>
      <c r="I31" t="s">
        <v>76</v>
      </c>
      <c r="J31">
        <v>120</v>
      </c>
      <c r="K31">
        <v>139</v>
      </c>
      <c r="L31">
        <v>34906159</v>
      </c>
    </row>
    <row r="32" spans="1:12" x14ac:dyDescent="0.2">
      <c r="A32" t="s">
        <v>101</v>
      </c>
      <c r="B32" t="s">
        <v>109</v>
      </c>
      <c r="C32" t="s">
        <v>28</v>
      </c>
      <c r="D32" t="s">
        <v>28</v>
      </c>
      <c r="E32">
        <v>8.7669999999999995</v>
      </c>
      <c r="F32">
        <v>3.73203</v>
      </c>
      <c r="G32">
        <v>2019</v>
      </c>
      <c r="H32">
        <v>2019</v>
      </c>
      <c r="I32" t="s">
        <v>71</v>
      </c>
      <c r="J32">
        <v>4</v>
      </c>
      <c r="K32">
        <v>139</v>
      </c>
      <c r="L32">
        <v>34906159</v>
      </c>
    </row>
    <row r="33" spans="1:12" x14ac:dyDescent="0.2">
      <c r="A33" t="s">
        <v>101</v>
      </c>
      <c r="B33" t="s">
        <v>109</v>
      </c>
      <c r="C33" t="s">
        <v>28</v>
      </c>
      <c r="D33" t="s">
        <v>28</v>
      </c>
      <c r="E33">
        <v>8.7669999999999995</v>
      </c>
      <c r="F33">
        <v>3.73203</v>
      </c>
      <c r="G33">
        <v>2019</v>
      </c>
      <c r="H33">
        <v>2019</v>
      </c>
      <c r="I33" t="s">
        <v>73</v>
      </c>
      <c r="J33">
        <v>135</v>
      </c>
      <c r="K33">
        <v>139</v>
      </c>
      <c r="L33">
        <v>34906159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B256-4D37-BA4E-8BF9-B4772CBE0B18}">
  <dimension ref="A1:M7"/>
  <sheetViews>
    <sheetView workbookViewId="0">
      <selection activeCell="L6" sqref="L6"/>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301</v>
      </c>
      <c r="B2" t="s">
        <v>302</v>
      </c>
      <c r="C2" t="s">
        <v>314</v>
      </c>
      <c r="D2" t="s">
        <v>303</v>
      </c>
      <c r="E2">
        <v>-4.0474199999999998</v>
      </c>
      <c r="F2">
        <v>5.4308899999999998</v>
      </c>
      <c r="G2">
        <v>2015</v>
      </c>
      <c r="H2">
        <v>2015</v>
      </c>
      <c r="I2" t="s">
        <v>73</v>
      </c>
      <c r="J2">
        <v>17</v>
      </c>
      <c r="K2">
        <v>17</v>
      </c>
      <c r="L2">
        <v>30404640</v>
      </c>
      <c r="M2" t="s">
        <v>319</v>
      </c>
    </row>
    <row r="3" spans="1:13" x14ac:dyDescent="0.2">
      <c r="A3" t="s">
        <v>301</v>
      </c>
      <c r="B3" t="s">
        <v>302</v>
      </c>
      <c r="C3" t="s">
        <v>314</v>
      </c>
      <c r="D3" t="s">
        <v>303</v>
      </c>
      <c r="E3">
        <v>-4.0474199999999998</v>
      </c>
      <c r="F3">
        <v>5.4308899999999998</v>
      </c>
      <c r="G3">
        <v>2015</v>
      </c>
      <c r="H3">
        <v>2015</v>
      </c>
      <c r="I3" t="s">
        <v>71</v>
      </c>
      <c r="J3">
        <v>0</v>
      </c>
      <c r="K3">
        <v>17</v>
      </c>
      <c r="L3">
        <v>30404640</v>
      </c>
      <c r="M3" t="s">
        <v>319</v>
      </c>
    </row>
    <row r="4" spans="1:13" x14ac:dyDescent="0.2">
      <c r="A4" t="s">
        <v>301</v>
      </c>
      <c r="B4" t="s">
        <v>307</v>
      </c>
      <c r="C4" t="s">
        <v>314</v>
      </c>
      <c r="D4" t="s">
        <v>308</v>
      </c>
      <c r="E4">
        <v>-3.8858999999999999</v>
      </c>
      <c r="F4">
        <v>5.2772500000000004</v>
      </c>
      <c r="G4">
        <v>2015</v>
      </c>
      <c r="H4">
        <v>2015</v>
      </c>
      <c r="I4" t="s">
        <v>73</v>
      </c>
      <c r="J4">
        <v>10</v>
      </c>
      <c r="K4">
        <v>15</v>
      </c>
      <c r="L4">
        <v>30404640</v>
      </c>
      <c r="M4" t="s">
        <v>319</v>
      </c>
    </row>
    <row r="5" spans="1:13" x14ac:dyDescent="0.2">
      <c r="A5" t="s">
        <v>301</v>
      </c>
      <c r="B5" t="s">
        <v>307</v>
      </c>
      <c r="C5" t="s">
        <v>314</v>
      </c>
      <c r="D5" t="s">
        <v>308</v>
      </c>
      <c r="E5">
        <v>-3.8858999999999999</v>
      </c>
      <c r="F5">
        <v>5.2772500000000004</v>
      </c>
      <c r="G5">
        <v>2015</v>
      </c>
      <c r="H5">
        <v>2015</v>
      </c>
      <c r="I5" t="s">
        <v>71</v>
      </c>
      <c r="J5">
        <v>5</v>
      </c>
      <c r="K5">
        <v>15</v>
      </c>
      <c r="L5">
        <v>30404640</v>
      </c>
      <c r="M5" t="s">
        <v>319</v>
      </c>
    </row>
    <row r="6" spans="1:13" x14ac:dyDescent="0.2">
      <c r="A6" t="s">
        <v>301</v>
      </c>
      <c r="B6" t="s">
        <v>309</v>
      </c>
      <c r="C6" t="s">
        <v>314</v>
      </c>
      <c r="D6" t="s">
        <v>310</v>
      </c>
      <c r="E6">
        <v>-3.1553800000000001</v>
      </c>
      <c r="F6">
        <v>5.60318</v>
      </c>
      <c r="G6">
        <v>2015</v>
      </c>
      <c r="H6">
        <v>2015</v>
      </c>
      <c r="I6" t="s">
        <v>73</v>
      </c>
      <c r="J6">
        <v>13</v>
      </c>
      <c r="K6">
        <v>18</v>
      </c>
      <c r="L6">
        <v>30404640</v>
      </c>
      <c r="M6" t="s">
        <v>319</v>
      </c>
    </row>
    <row r="7" spans="1:13" x14ac:dyDescent="0.2">
      <c r="A7" t="s">
        <v>301</v>
      </c>
      <c r="B7" t="s">
        <v>309</v>
      </c>
      <c r="C7" t="s">
        <v>314</v>
      </c>
      <c r="D7" t="s">
        <v>310</v>
      </c>
      <c r="E7">
        <v>-3.1553800000000001</v>
      </c>
      <c r="F7">
        <v>5.60318</v>
      </c>
      <c r="G7">
        <v>2015</v>
      </c>
      <c r="H7">
        <v>2015</v>
      </c>
      <c r="I7" t="s">
        <v>71</v>
      </c>
      <c r="J7">
        <v>5</v>
      </c>
      <c r="K7">
        <v>18</v>
      </c>
      <c r="L7">
        <v>30404640</v>
      </c>
      <c r="M7" t="s">
        <v>319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01B8E-4CAA-254B-8893-6486D44F1326}">
  <dimension ref="A1:M11"/>
  <sheetViews>
    <sheetView workbookViewId="0">
      <selection activeCell="K16" sqref="K16"/>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87</v>
      </c>
      <c r="B2" t="s">
        <v>88</v>
      </c>
      <c r="C2" t="s">
        <v>21</v>
      </c>
      <c r="D2" t="s">
        <v>89</v>
      </c>
      <c r="E2">
        <v>9.3146000000000004</v>
      </c>
      <c r="F2">
        <v>4.0892499999999998</v>
      </c>
      <c r="G2">
        <v>2003</v>
      </c>
      <c r="H2">
        <v>2005</v>
      </c>
      <c r="I2" t="s">
        <v>71</v>
      </c>
      <c r="J2">
        <v>223</v>
      </c>
      <c r="K2">
        <v>230</v>
      </c>
      <c r="L2">
        <v>29854394</v>
      </c>
    </row>
    <row r="3" spans="1:13" x14ac:dyDescent="0.2">
      <c r="A3" t="s">
        <v>87</v>
      </c>
      <c r="B3" t="s">
        <v>88</v>
      </c>
      <c r="C3" t="s">
        <v>21</v>
      </c>
      <c r="D3" t="s">
        <v>89</v>
      </c>
      <c r="E3">
        <v>9.3146000000000004</v>
      </c>
      <c r="F3">
        <v>4.0892499999999998</v>
      </c>
      <c r="G3">
        <v>2003</v>
      </c>
      <c r="H3">
        <v>2005</v>
      </c>
      <c r="I3" t="s">
        <v>73</v>
      </c>
      <c r="J3">
        <v>7</v>
      </c>
      <c r="K3">
        <v>230</v>
      </c>
      <c r="L3">
        <v>29854394</v>
      </c>
    </row>
    <row r="4" spans="1:13" x14ac:dyDescent="0.2">
      <c r="A4" t="s">
        <v>87</v>
      </c>
      <c r="B4" t="s">
        <v>88</v>
      </c>
      <c r="C4" t="s">
        <v>21</v>
      </c>
      <c r="D4" t="s">
        <v>89</v>
      </c>
      <c r="E4">
        <v>9.3146000000000004</v>
      </c>
      <c r="F4">
        <v>4.0892499999999998</v>
      </c>
      <c r="G4">
        <v>2003</v>
      </c>
      <c r="H4">
        <v>2005</v>
      </c>
      <c r="I4" t="s">
        <v>74</v>
      </c>
      <c r="J4">
        <v>189</v>
      </c>
      <c r="K4">
        <v>226</v>
      </c>
      <c r="L4">
        <v>29854394</v>
      </c>
    </row>
    <row r="5" spans="1:13" x14ac:dyDescent="0.2">
      <c r="A5" t="s">
        <v>87</v>
      </c>
      <c r="B5" t="s">
        <v>88</v>
      </c>
      <c r="C5" t="s">
        <v>21</v>
      </c>
      <c r="D5" t="s">
        <v>89</v>
      </c>
      <c r="E5">
        <v>9.3146000000000004</v>
      </c>
      <c r="F5">
        <v>4.0892499999999998</v>
      </c>
      <c r="G5">
        <v>2003</v>
      </c>
      <c r="H5">
        <v>2005</v>
      </c>
      <c r="I5" t="s">
        <v>76</v>
      </c>
      <c r="J5">
        <v>37</v>
      </c>
      <c r="K5">
        <v>226</v>
      </c>
      <c r="L5">
        <v>29854394</v>
      </c>
    </row>
    <row r="6" spans="1:13" x14ac:dyDescent="0.2">
      <c r="A6" t="s">
        <v>87</v>
      </c>
      <c r="B6" t="s">
        <v>90</v>
      </c>
      <c r="C6" t="s">
        <v>21</v>
      </c>
      <c r="D6" t="s">
        <v>89</v>
      </c>
      <c r="E6">
        <v>9.3146000000000004</v>
      </c>
      <c r="F6">
        <v>4.0892499999999998</v>
      </c>
      <c r="G6">
        <v>2009</v>
      </c>
      <c r="H6">
        <v>2013</v>
      </c>
      <c r="I6" t="s">
        <v>71</v>
      </c>
      <c r="J6">
        <v>174</v>
      </c>
      <c r="K6">
        <v>260</v>
      </c>
      <c r="L6">
        <v>29854394</v>
      </c>
      <c r="M6" t="s">
        <v>320</v>
      </c>
    </row>
    <row r="7" spans="1:13" x14ac:dyDescent="0.2">
      <c r="A7" t="s">
        <v>87</v>
      </c>
      <c r="B7" t="s">
        <v>90</v>
      </c>
      <c r="C7" t="s">
        <v>21</v>
      </c>
      <c r="D7" t="s">
        <v>89</v>
      </c>
      <c r="E7">
        <v>9.3146000000000004</v>
      </c>
      <c r="F7">
        <v>4.0892499999999998</v>
      </c>
      <c r="G7">
        <v>2009</v>
      </c>
      <c r="H7">
        <v>2013</v>
      </c>
      <c r="I7" t="s">
        <v>73</v>
      </c>
      <c r="J7">
        <v>84</v>
      </c>
      <c r="K7">
        <v>260</v>
      </c>
      <c r="L7">
        <v>29854394</v>
      </c>
      <c r="M7" t="s">
        <v>320</v>
      </c>
    </row>
    <row r="8" spans="1:13" x14ac:dyDescent="0.2">
      <c r="A8" t="s">
        <v>87</v>
      </c>
      <c r="B8" t="s">
        <v>90</v>
      </c>
      <c r="C8" t="s">
        <v>21</v>
      </c>
      <c r="D8" t="s">
        <v>89</v>
      </c>
      <c r="E8">
        <v>9.3146000000000004</v>
      </c>
      <c r="F8">
        <v>4.0892499999999998</v>
      </c>
      <c r="G8">
        <v>2009</v>
      </c>
      <c r="H8">
        <v>2013</v>
      </c>
      <c r="I8" t="s">
        <v>72</v>
      </c>
      <c r="J8">
        <v>2</v>
      </c>
      <c r="K8">
        <v>260</v>
      </c>
      <c r="L8">
        <v>29854394</v>
      </c>
      <c r="M8" t="s">
        <v>320</v>
      </c>
    </row>
    <row r="9" spans="1:13" x14ac:dyDescent="0.2">
      <c r="A9" t="s">
        <v>87</v>
      </c>
      <c r="B9" t="s">
        <v>90</v>
      </c>
      <c r="C9" t="s">
        <v>21</v>
      </c>
      <c r="D9" t="s">
        <v>89</v>
      </c>
      <c r="E9">
        <v>9.3146000000000004</v>
      </c>
      <c r="F9">
        <v>4.0892499999999998</v>
      </c>
      <c r="G9">
        <v>2009</v>
      </c>
      <c r="H9">
        <v>2013</v>
      </c>
      <c r="I9" t="s">
        <v>74</v>
      </c>
      <c r="J9">
        <v>92</v>
      </c>
      <c r="K9">
        <v>208</v>
      </c>
      <c r="L9">
        <v>29854394</v>
      </c>
      <c r="M9" t="s">
        <v>320</v>
      </c>
    </row>
    <row r="10" spans="1:13" x14ac:dyDescent="0.2">
      <c r="A10" t="s">
        <v>87</v>
      </c>
      <c r="B10" t="s">
        <v>90</v>
      </c>
      <c r="C10" t="s">
        <v>21</v>
      </c>
      <c r="D10" t="s">
        <v>89</v>
      </c>
      <c r="E10">
        <v>9.3146000000000004</v>
      </c>
      <c r="F10">
        <v>4.0892499999999998</v>
      </c>
      <c r="G10">
        <v>2009</v>
      </c>
      <c r="H10">
        <v>2013</v>
      </c>
      <c r="I10" t="s">
        <v>76</v>
      </c>
      <c r="J10">
        <v>114</v>
      </c>
      <c r="K10">
        <v>208</v>
      </c>
      <c r="L10">
        <v>29854394</v>
      </c>
      <c r="M10" t="s">
        <v>320</v>
      </c>
    </row>
    <row r="11" spans="1:13" x14ac:dyDescent="0.2">
      <c r="A11" t="s">
        <v>87</v>
      </c>
      <c r="B11" t="s">
        <v>90</v>
      </c>
      <c r="C11" t="s">
        <v>21</v>
      </c>
      <c r="D11" t="s">
        <v>89</v>
      </c>
      <c r="E11">
        <v>9.3146000000000004</v>
      </c>
      <c r="F11">
        <v>4.0892499999999998</v>
      </c>
      <c r="G11">
        <v>2009</v>
      </c>
      <c r="H11">
        <v>2013</v>
      </c>
      <c r="I11" t="s">
        <v>75</v>
      </c>
      <c r="J11">
        <v>2</v>
      </c>
      <c r="K11">
        <v>208</v>
      </c>
      <c r="L11">
        <v>29854394</v>
      </c>
      <c r="M11" t="s">
        <v>320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01E75-51AA-A348-9F64-0F654A83424A}">
  <dimension ref="A1:M4"/>
  <sheetViews>
    <sheetView workbookViewId="0">
      <selection activeCell="I5" sqref="I5"/>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131</v>
      </c>
      <c r="B2" t="s">
        <v>132</v>
      </c>
      <c r="C2" t="s">
        <v>10</v>
      </c>
      <c r="D2" t="s">
        <v>130</v>
      </c>
      <c r="E2">
        <v>-1.5833299999999999</v>
      </c>
      <c r="F2">
        <v>6.45</v>
      </c>
      <c r="G2">
        <v>2011</v>
      </c>
      <c r="H2">
        <v>2012</v>
      </c>
      <c r="I2" t="s">
        <v>76</v>
      </c>
      <c r="J2">
        <v>139</v>
      </c>
      <c r="K2">
        <v>164</v>
      </c>
      <c r="L2">
        <v>29582732</v>
      </c>
      <c r="M2" t="s">
        <v>321</v>
      </c>
    </row>
    <row r="3" spans="1:13" x14ac:dyDescent="0.2">
      <c r="A3" t="s">
        <v>131</v>
      </c>
      <c r="B3" t="s">
        <v>132</v>
      </c>
      <c r="C3" t="s">
        <v>10</v>
      </c>
      <c r="D3" t="s">
        <v>130</v>
      </c>
      <c r="E3">
        <v>-1.5833299999999999</v>
      </c>
      <c r="F3">
        <v>6.45</v>
      </c>
      <c r="G3">
        <v>2011</v>
      </c>
      <c r="H3">
        <v>2012</v>
      </c>
      <c r="I3" t="s">
        <v>74</v>
      </c>
      <c r="J3">
        <v>20</v>
      </c>
      <c r="K3">
        <v>164</v>
      </c>
      <c r="L3">
        <v>29582732</v>
      </c>
      <c r="M3" t="s">
        <v>321</v>
      </c>
    </row>
    <row r="4" spans="1:13" x14ac:dyDescent="0.2">
      <c r="A4" t="s">
        <v>131</v>
      </c>
      <c r="B4" t="s">
        <v>132</v>
      </c>
      <c r="C4" t="s">
        <v>10</v>
      </c>
      <c r="D4" t="s">
        <v>130</v>
      </c>
      <c r="E4">
        <v>-1.5833299999999999</v>
      </c>
      <c r="F4">
        <v>6.45</v>
      </c>
      <c r="G4">
        <v>2011</v>
      </c>
      <c r="H4">
        <v>2012</v>
      </c>
      <c r="I4" t="s">
        <v>75</v>
      </c>
      <c r="J4">
        <v>5</v>
      </c>
      <c r="K4">
        <v>164</v>
      </c>
      <c r="L4">
        <v>29582732</v>
      </c>
      <c r="M4" t="s">
        <v>321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D5346-BB6B-5148-9140-FD02AC82FC0D}">
  <dimension ref="A1:M3"/>
  <sheetViews>
    <sheetView workbookViewId="0">
      <selection activeCell="M17" sqref="M17"/>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304</v>
      </c>
      <c r="B2" t="s">
        <v>305</v>
      </c>
      <c r="C2" t="s">
        <v>57</v>
      </c>
      <c r="D2" t="s">
        <v>306</v>
      </c>
      <c r="E2">
        <v>8.0816700000000008</v>
      </c>
      <c r="F2">
        <v>17.607800000000001</v>
      </c>
      <c r="G2">
        <v>2011</v>
      </c>
      <c r="H2">
        <v>2012</v>
      </c>
      <c r="I2" t="s">
        <v>74</v>
      </c>
      <c r="J2">
        <v>7</v>
      </c>
      <c r="K2">
        <v>119</v>
      </c>
      <c r="L2">
        <v>29486766</v>
      </c>
      <c r="M2" t="s">
        <v>322</v>
      </c>
    </row>
    <row r="3" spans="1:13" x14ac:dyDescent="0.2">
      <c r="A3" t="s">
        <v>304</v>
      </c>
      <c r="B3" t="s">
        <v>305</v>
      </c>
      <c r="C3" t="s">
        <v>57</v>
      </c>
      <c r="D3" t="s">
        <v>306</v>
      </c>
      <c r="E3">
        <v>8.0816700000000008</v>
      </c>
      <c r="F3">
        <v>17.607800000000001</v>
      </c>
      <c r="G3">
        <v>2011</v>
      </c>
      <c r="H3">
        <v>2012</v>
      </c>
      <c r="I3" t="s">
        <v>76</v>
      </c>
      <c r="J3">
        <v>112</v>
      </c>
      <c r="K3">
        <v>119</v>
      </c>
      <c r="L3">
        <v>29486766</v>
      </c>
      <c r="M3" t="s">
        <v>322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8F50-D51E-244A-87D3-8385020447B2}">
  <dimension ref="A1:M10"/>
  <sheetViews>
    <sheetView tabSelected="1" workbookViewId="0">
      <selection activeCell="I9" sqref="I9"/>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293</v>
      </c>
      <c r="B2" t="s">
        <v>294</v>
      </c>
      <c r="C2" t="s">
        <v>17</v>
      </c>
      <c r="D2" t="s">
        <v>295</v>
      </c>
      <c r="E2">
        <v>13.416499999999999</v>
      </c>
      <c r="F2">
        <v>-12.5905</v>
      </c>
      <c r="G2">
        <v>2015</v>
      </c>
      <c r="H2">
        <v>2015</v>
      </c>
      <c r="I2" t="s">
        <v>76</v>
      </c>
      <c r="J2">
        <v>168</v>
      </c>
      <c r="K2">
        <v>194</v>
      </c>
      <c r="L2">
        <v>29458380</v>
      </c>
      <c r="M2" t="s">
        <v>323</v>
      </c>
    </row>
    <row r="3" spans="1:13" x14ac:dyDescent="0.2">
      <c r="A3" t="s">
        <v>293</v>
      </c>
      <c r="B3" t="s">
        <v>294</v>
      </c>
      <c r="C3" t="s">
        <v>17</v>
      </c>
      <c r="D3" t="s">
        <v>295</v>
      </c>
      <c r="E3">
        <v>13.416499999999999</v>
      </c>
      <c r="F3">
        <v>-12.5905</v>
      </c>
      <c r="G3">
        <v>2015</v>
      </c>
      <c r="H3">
        <v>2015</v>
      </c>
      <c r="I3" t="s">
        <v>74</v>
      </c>
      <c r="J3">
        <v>12</v>
      </c>
      <c r="K3">
        <v>194</v>
      </c>
      <c r="L3">
        <v>29458380</v>
      </c>
      <c r="M3" t="s">
        <v>323</v>
      </c>
    </row>
    <row r="4" spans="1:13" x14ac:dyDescent="0.2">
      <c r="A4" t="s">
        <v>293</v>
      </c>
      <c r="B4" t="s">
        <v>294</v>
      </c>
      <c r="C4" t="s">
        <v>17</v>
      </c>
      <c r="D4" t="s">
        <v>295</v>
      </c>
      <c r="E4">
        <v>13.416499999999999</v>
      </c>
      <c r="F4">
        <v>-12.5905</v>
      </c>
      <c r="G4">
        <v>2015</v>
      </c>
      <c r="H4">
        <v>2015</v>
      </c>
      <c r="I4" t="s">
        <v>75</v>
      </c>
      <c r="J4">
        <v>14</v>
      </c>
      <c r="K4">
        <v>194</v>
      </c>
      <c r="L4">
        <v>29458380</v>
      </c>
      <c r="M4" t="s">
        <v>323</v>
      </c>
    </row>
    <row r="5" spans="1:13" x14ac:dyDescent="0.2">
      <c r="A5" t="s">
        <v>293</v>
      </c>
      <c r="B5" t="s">
        <v>296</v>
      </c>
      <c r="C5" t="s">
        <v>17</v>
      </c>
      <c r="D5" t="s">
        <v>297</v>
      </c>
      <c r="E5">
        <v>14.234299999999999</v>
      </c>
      <c r="F5">
        <v>-6.2648999999999999</v>
      </c>
      <c r="G5">
        <v>2015</v>
      </c>
      <c r="H5">
        <v>2015</v>
      </c>
      <c r="I5" t="s">
        <v>76</v>
      </c>
      <c r="J5">
        <v>150</v>
      </c>
      <c r="K5">
        <v>201</v>
      </c>
      <c r="L5">
        <v>29458380</v>
      </c>
      <c r="M5" t="s">
        <v>323</v>
      </c>
    </row>
    <row r="6" spans="1:13" x14ac:dyDescent="0.2">
      <c r="A6" t="s">
        <v>293</v>
      </c>
      <c r="B6" t="s">
        <v>296</v>
      </c>
      <c r="C6" t="s">
        <v>17</v>
      </c>
      <c r="D6" t="s">
        <v>297</v>
      </c>
      <c r="E6">
        <v>14.234299999999999</v>
      </c>
      <c r="F6">
        <v>-6.2648999999999999</v>
      </c>
      <c r="G6">
        <v>2015</v>
      </c>
      <c r="H6">
        <v>2015</v>
      </c>
      <c r="I6" t="s">
        <v>74</v>
      </c>
      <c r="J6">
        <v>20</v>
      </c>
      <c r="K6">
        <v>201</v>
      </c>
      <c r="L6">
        <v>29458380</v>
      </c>
      <c r="M6" t="s">
        <v>323</v>
      </c>
    </row>
    <row r="7" spans="1:13" x14ac:dyDescent="0.2">
      <c r="A7" t="s">
        <v>293</v>
      </c>
      <c r="B7" t="s">
        <v>296</v>
      </c>
      <c r="C7" t="s">
        <v>17</v>
      </c>
      <c r="D7" t="s">
        <v>297</v>
      </c>
      <c r="E7">
        <v>14.234299999999999</v>
      </c>
      <c r="F7">
        <v>-6.2648999999999999</v>
      </c>
      <c r="G7">
        <v>2015</v>
      </c>
      <c r="H7">
        <v>2015</v>
      </c>
      <c r="I7" t="s">
        <v>75</v>
      </c>
      <c r="J7">
        <v>31</v>
      </c>
      <c r="K7">
        <v>201</v>
      </c>
      <c r="L7">
        <v>29458380</v>
      </c>
      <c r="M7" t="s">
        <v>323</v>
      </c>
    </row>
    <row r="8" spans="1:13" x14ac:dyDescent="0.2">
      <c r="A8" t="s">
        <v>293</v>
      </c>
      <c r="B8" t="s">
        <v>298</v>
      </c>
      <c r="C8" t="s">
        <v>17</v>
      </c>
      <c r="D8" t="s">
        <v>299</v>
      </c>
      <c r="E8">
        <v>20.476099999999999</v>
      </c>
      <c r="F8">
        <v>-9.7404100000000007</v>
      </c>
      <c r="G8">
        <v>2015</v>
      </c>
      <c r="H8">
        <v>2015</v>
      </c>
      <c r="I8" t="s">
        <v>76</v>
      </c>
      <c r="J8">
        <v>0</v>
      </c>
      <c r="K8">
        <v>0</v>
      </c>
      <c r="L8">
        <v>29458380</v>
      </c>
      <c r="M8" t="s">
        <v>324</v>
      </c>
    </row>
    <row r="9" spans="1:13" x14ac:dyDescent="0.2">
      <c r="A9" t="s">
        <v>293</v>
      </c>
      <c r="B9" t="s">
        <v>298</v>
      </c>
      <c r="C9" t="s">
        <v>17</v>
      </c>
      <c r="D9" t="s">
        <v>299</v>
      </c>
      <c r="E9">
        <v>20.476099999999999</v>
      </c>
      <c r="F9">
        <v>-9.7404100000000007</v>
      </c>
      <c r="G9">
        <v>2015</v>
      </c>
      <c r="H9">
        <v>2015</v>
      </c>
      <c r="I9" t="s">
        <v>74</v>
      </c>
      <c r="J9">
        <v>0</v>
      </c>
      <c r="K9">
        <v>0</v>
      </c>
      <c r="L9">
        <v>29458380</v>
      </c>
      <c r="M9" t="s">
        <v>324</v>
      </c>
    </row>
    <row r="10" spans="1:13" x14ac:dyDescent="0.2">
      <c r="A10" t="s">
        <v>293</v>
      </c>
      <c r="B10" t="s">
        <v>298</v>
      </c>
      <c r="C10" t="s">
        <v>17</v>
      </c>
      <c r="D10" t="s">
        <v>299</v>
      </c>
      <c r="E10">
        <v>20.476099999999999</v>
      </c>
      <c r="F10">
        <v>-9.7404100000000007</v>
      </c>
      <c r="G10">
        <v>2015</v>
      </c>
      <c r="H10">
        <v>2015</v>
      </c>
      <c r="I10" t="s">
        <v>75</v>
      </c>
      <c r="J10">
        <v>0</v>
      </c>
      <c r="K10">
        <v>0</v>
      </c>
      <c r="L10">
        <v>29458380</v>
      </c>
      <c r="M10" t="s">
        <v>324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F2C61-AD79-A444-A692-AF400DEA6C96}">
  <dimension ref="A1:M7"/>
  <sheetViews>
    <sheetView workbookViewId="0">
      <selection activeCell="L6" sqref="L6"/>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279</v>
      </c>
      <c r="B2" t="s">
        <v>280</v>
      </c>
      <c r="C2" t="s">
        <v>15</v>
      </c>
      <c r="D2" t="s">
        <v>281</v>
      </c>
      <c r="E2">
        <v>30.619299999999999</v>
      </c>
      <c r="F2">
        <v>-0.61143499999999995</v>
      </c>
      <c r="G2">
        <v>2012</v>
      </c>
      <c r="H2">
        <v>2014</v>
      </c>
      <c r="I2" t="s">
        <v>76</v>
      </c>
      <c r="J2">
        <v>122</v>
      </c>
      <c r="K2">
        <v>134</v>
      </c>
      <c r="L2">
        <v>29390014</v>
      </c>
    </row>
    <row r="3" spans="1:13" x14ac:dyDescent="0.2">
      <c r="A3" t="s">
        <v>279</v>
      </c>
      <c r="B3" t="s">
        <v>280</v>
      </c>
      <c r="C3" t="s">
        <v>15</v>
      </c>
      <c r="D3" t="s">
        <v>281</v>
      </c>
      <c r="E3">
        <v>30.619299999999999</v>
      </c>
      <c r="F3">
        <v>-0.61143499999999995</v>
      </c>
      <c r="G3">
        <v>2012</v>
      </c>
      <c r="H3">
        <v>2014</v>
      </c>
      <c r="I3" t="s">
        <v>74</v>
      </c>
      <c r="J3">
        <v>10</v>
      </c>
      <c r="K3">
        <v>134</v>
      </c>
      <c r="L3">
        <v>29390014</v>
      </c>
      <c r="M3" t="s">
        <v>325</v>
      </c>
    </row>
    <row r="4" spans="1:13" x14ac:dyDescent="0.2">
      <c r="A4" t="s">
        <v>279</v>
      </c>
      <c r="B4" t="s">
        <v>280</v>
      </c>
      <c r="C4" t="s">
        <v>15</v>
      </c>
      <c r="D4" t="s">
        <v>281</v>
      </c>
      <c r="E4">
        <v>30.619299999999999</v>
      </c>
      <c r="F4">
        <v>-0.61143499999999995</v>
      </c>
      <c r="G4">
        <v>2012</v>
      </c>
      <c r="H4">
        <v>2014</v>
      </c>
      <c r="I4" t="s">
        <v>75</v>
      </c>
      <c r="J4">
        <v>2</v>
      </c>
      <c r="K4">
        <v>134</v>
      </c>
      <c r="L4">
        <v>29390014</v>
      </c>
    </row>
    <row r="5" spans="1:13" x14ac:dyDescent="0.2">
      <c r="A5" t="s">
        <v>279</v>
      </c>
      <c r="B5" t="s">
        <v>300</v>
      </c>
      <c r="C5" t="s">
        <v>8</v>
      </c>
      <c r="D5" t="s">
        <v>8</v>
      </c>
      <c r="E5">
        <v>21.758700000000001</v>
      </c>
      <c r="F5">
        <v>-4.0383300000000002</v>
      </c>
      <c r="G5">
        <v>2012</v>
      </c>
      <c r="H5">
        <v>2014</v>
      </c>
      <c r="I5" t="s">
        <v>76</v>
      </c>
      <c r="J5">
        <v>57</v>
      </c>
      <c r="K5">
        <v>108</v>
      </c>
      <c r="L5">
        <v>29390014</v>
      </c>
    </row>
    <row r="6" spans="1:13" x14ac:dyDescent="0.2">
      <c r="A6" t="s">
        <v>279</v>
      </c>
      <c r="B6" t="s">
        <v>300</v>
      </c>
      <c r="C6" t="s">
        <v>8</v>
      </c>
      <c r="D6" t="s">
        <v>8</v>
      </c>
      <c r="E6">
        <v>21.758700000000001</v>
      </c>
      <c r="F6">
        <v>-4.0383300000000002</v>
      </c>
      <c r="G6">
        <v>2012</v>
      </c>
      <c r="H6">
        <v>2014</v>
      </c>
      <c r="I6" t="s">
        <v>74</v>
      </c>
      <c r="J6">
        <v>41</v>
      </c>
      <c r="K6">
        <v>108</v>
      </c>
      <c r="L6">
        <v>29390014</v>
      </c>
    </row>
    <row r="7" spans="1:13" x14ac:dyDescent="0.2">
      <c r="A7" t="s">
        <v>279</v>
      </c>
      <c r="B7" t="s">
        <v>300</v>
      </c>
      <c r="C7" t="s">
        <v>8</v>
      </c>
      <c r="D7" t="s">
        <v>8</v>
      </c>
      <c r="E7">
        <v>21.758700000000001</v>
      </c>
      <c r="F7">
        <v>-4.0383300000000002</v>
      </c>
      <c r="G7">
        <v>2012</v>
      </c>
      <c r="H7">
        <v>2014</v>
      </c>
      <c r="I7" t="s">
        <v>75</v>
      </c>
      <c r="J7">
        <v>10</v>
      </c>
      <c r="K7">
        <v>108</v>
      </c>
      <c r="L7">
        <v>29390014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4B929-ADAF-F341-B332-F4136ED5D4C0}">
  <dimension ref="A1:M49"/>
  <sheetViews>
    <sheetView workbookViewId="0">
      <selection activeCell="O11" sqref="O11"/>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183</v>
      </c>
      <c r="B2" t="s">
        <v>184</v>
      </c>
      <c r="C2" t="s">
        <v>11</v>
      </c>
      <c r="D2" t="s">
        <v>185</v>
      </c>
      <c r="E2">
        <v>34.751899999999999</v>
      </c>
      <c r="F2">
        <v>0.28273100000000001</v>
      </c>
      <c r="G2">
        <v>2003</v>
      </c>
      <c r="H2">
        <v>2003</v>
      </c>
      <c r="I2" t="s">
        <v>73</v>
      </c>
      <c r="J2">
        <v>9</v>
      </c>
      <c r="K2">
        <v>53</v>
      </c>
      <c r="L2">
        <v>29363453</v>
      </c>
    </row>
    <row r="3" spans="1:13" x14ac:dyDescent="0.2">
      <c r="A3" t="s">
        <v>183</v>
      </c>
      <c r="B3" t="s">
        <v>184</v>
      </c>
      <c r="C3" t="s">
        <v>11</v>
      </c>
      <c r="D3" t="s">
        <v>185</v>
      </c>
      <c r="E3">
        <v>34.751899999999999</v>
      </c>
      <c r="F3">
        <v>0.28273100000000001</v>
      </c>
      <c r="G3">
        <v>2003</v>
      </c>
      <c r="H3">
        <v>2003</v>
      </c>
      <c r="I3" t="s">
        <v>71</v>
      </c>
      <c r="J3">
        <v>33</v>
      </c>
      <c r="K3">
        <v>53</v>
      </c>
      <c r="L3">
        <v>29363453</v>
      </c>
      <c r="M3" t="s">
        <v>326</v>
      </c>
    </row>
    <row r="4" spans="1:13" x14ac:dyDescent="0.2">
      <c r="A4" t="s">
        <v>183</v>
      </c>
      <c r="B4" t="s">
        <v>184</v>
      </c>
      <c r="C4" t="s">
        <v>11</v>
      </c>
      <c r="D4" t="s">
        <v>185</v>
      </c>
      <c r="E4">
        <v>34.751899999999999</v>
      </c>
      <c r="F4">
        <v>0.28273100000000001</v>
      </c>
      <c r="G4">
        <v>2003</v>
      </c>
      <c r="H4">
        <v>2003</v>
      </c>
      <c r="I4" t="s">
        <v>72</v>
      </c>
      <c r="J4">
        <v>11</v>
      </c>
      <c r="K4">
        <v>53</v>
      </c>
      <c r="L4">
        <v>29363453</v>
      </c>
    </row>
    <row r="5" spans="1:13" x14ac:dyDescent="0.2">
      <c r="A5" t="s">
        <v>183</v>
      </c>
      <c r="B5" t="s">
        <v>184</v>
      </c>
      <c r="C5" t="s">
        <v>11</v>
      </c>
      <c r="D5" t="s">
        <v>185</v>
      </c>
      <c r="E5">
        <v>34.751899999999999</v>
      </c>
      <c r="F5">
        <v>0.28273100000000001</v>
      </c>
      <c r="G5">
        <v>2003</v>
      </c>
      <c r="H5">
        <v>2003</v>
      </c>
      <c r="I5" t="s">
        <v>76</v>
      </c>
      <c r="J5">
        <v>6</v>
      </c>
      <c r="K5">
        <v>28</v>
      </c>
      <c r="L5">
        <v>29363453</v>
      </c>
    </row>
    <row r="6" spans="1:13" x14ac:dyDescent="0.2">
      <c r="A6" t="s">
        <v>183</v>
      </c>
      <c r="B6" t="s">
        <v>184</v>
      </c>
      <c r="C6" t="s">
        <v>11</v>
      </c>
      <c r="D6" t="s">
        <v>185</v>
      </c>
      <c r="E6">
        <v>34.751899999999999</v>
      </c>
      <c r="F6">
        <v>0.28273100000000001</v>
      </c>
      <c r="G6">
        <v>2003</v>
      </c>
      <c r="H6">
        <v>2003</v>
      </c>
      <c r="I6" t="s">
        <v>74</v>
      </c>
      <c r="J6">
        <v>13</v>
      </c>
      <c r="K6">
        <v>28</v>
      </c>
      <c r="L6">
        <v>29363453</v>
      </c>
    </row>
    <row r="7" spans="1:13" x14ac:dyDescent="0.2">
      <c r="A7" t="s">
        <v>183</v>
      </c>
      <c r="B7" t="s">
        <v>184</v>
      </c>
      <c r="C7" t="s">
        <v>11</v>
      </c>
      <c r="D7" t="s">
        <v>185</v>
      </c>
      <c r="E7">
        <v>34.751899999999999</v>
      </c>
      <c r="F7">
        <v>0.28273100000000001</v>
      </c>
      <c r="G7">
        <v>2003</v>
      </c>
      <c r="H7">
        <v>2003</v>
      </c>
      <c r="I7" t="s">
        <v>75</v>
      </c>
      <c r="J7">
        <v>9</v>
      </c>
      <c r="K7">
        <v>28</v>
      </c>
      <c r="L7">
        <v>29363453</v>
      </c>
    </row>
    <row r="8" spans="1:13" x14ac:dyDescent="0.2">
      <c r="A8" t="s">
        <v>183</v>
      </c>
      <c r="B8" t="s">
        <v>186</v>
      </c>
      <c r="C8" t="s">
        <v>11</v>
      </c>
      <c r="D8" t="s">
        <v>185</v>
      </c>
      <c r="E8">
        <v>34.751899999999999</v>
      </c>
      <c r="F8">
        <v>0.28273100000000001</v>
      </c>
      <c r="G8">
        <v>2005</v>
      </c>
      <c r="H8">
        <v>2005</v>
      </c>
      <c r="I8" t="s">
        <v>73</v>
      </c>
      <c r="J8">
        <v>11</v>
      </c>
      <c r="K8">
        <v>106</v>
      </c>
      <c r="L8">
        <v>29363453</v>
      </c>
    </row>
    <row r="9" spans="1:13" x14ac:dyDescent="0.2">
      <c r="A9" t="s">
        <v>183</v>
      </c>
      <c r="B9" t="s">
        <v>186</v>
      </c>
      <c r="C9" t="s">
        <v>11</v>
      </c>
      <c r="D9" t="s">
        <v>185</v>
      </c>
      <c r="E9">
        <v>34.751899999999999</v>
      </c>
      <c r="F9">
        <v>0.28273100000000001</v>
      </c>
      <c r="G9">
        <v>2005</v>
      </c>
      <c r="H9">
        <v>2005</v>
      </c>
      <c r="I9" t="s">
        <v>71</v>
      </c>
      <c r="J9">
        <v>81</v>
      </c>
      <c r="K9">
        <v>106</v>
      </c>
      <c r="L9">
        <v>29363453</v>
      </c>
    </row>
    <row r="10" spans="1:13" x14ac:dyDescent="0.2">
      <c r="A10" t="s">
        <v>183</v>
      </c>
      <c r="B10" t="s">
        <v>186</v>
      </c>
      <c r="C10" t="s">
        <v>11</v>
      </c>
      <c r="D10" t="s">
        <v>185</v>
      </c>
      <c r="E10">
        <v>34.751899999999999</v>
      </c>
      <c r="F10">
        <v>0.28273100000000001</v>
      </c>
      <c r="G10">
        <v>2005</v>
      </c>
      <c r="H10">
        <v>2005</v>
      </c>
      <c r="I10" t="s">
        <v>72</v>
      </c>
      <c r="J10">
        <v>14</v>
      </c>
      <c r="K10">
        <v>106</v>
      </c>
      <c r="L10">
        <v>29363453</v>
      </c>
    </row>
    <row r="11" spans="1:13" x14ac:dyDescent="0.2">
      <c r="A11" t="s">
        <v>183</v>
      </c>
      <c r="B11" t="s">
        <v>186</v>
      </c>
      <c r="C11" t="s">
        <v>11</v>
      </c>
      <c r="D11" t="s">
        <v>185</v>
      </c>
      <c r="E11">
        <v>34.751899999999999</v>
      </c>
      <c r="F11">
        <v>0.28273100000000001</v>
      </c>
      <c r="G11">
        <v>2005</v>
      </c>
      <c r="H11">
        <v>2005</v>
      </c>
      <c r="I11" t="s">
        <v>76</v>
      </c>
      <c r="J11">
        <v>28</v>
      </c>
      <c r="K11">
        <v>108</v>
      </c>
      <c r="L11">
        <v>29363453</v>
      </c>
    </row>
    <row r="12" spans="1:13" x14ac:dyDescent="0.2">
      <c r="A12" t="s">
        <v>183</v>
      </c>
      <c r="B12" t="s">
        <v>186</v>
      </c>
      <c r="C12" t="s">
        <v>11</v>
      </c>
      <c r="D12" t="s">
        <v>185</v>
      </c>
      <c r="E12">
        <v>34.751899999999999</v>
      </c>
      <c r="F12">
        <v>0.28273100000000001</v>
      </c>
      <c r="G12">
        <v>2005</v>
      </c>
      <c r="H12">
        <v>2005</v>
      </c>
      <c r="I12" t="s">
        <v>74</v>
      </c>
      <c r="J12">
        <v>45</v>
      </c>
      <c r="K12">
        <v>108</v>
      </c>
      <c r="L12">
        <v>29363453</v>
      </c>
    </row>
    <row r="13" spans="1:13" x14ac:dyDescent="0.2">
      <c r="A13" t="s">
        <v>183</v>
      </c>
      <c r="B13" t="s">
        <v>186</v>
      </c>
      <c r="C13" t="s">
        <v>11</v>
      </c>
      <c r="D13" t="s">
        <v>185</v>
      </c>
      <c r="E13">
        <v>34.751899999999999</v>
      </c>
      <c r="F13">
        <v>0.28273100000000001</v>
      </c>
      <c r="G13">
        <v>2005</v>
      </c>
      <c r="H13">
        <v>2005</v>
      </c>
      <c r="I13" t="s">
        <v>75</v>
      </c>
      <c r="J13">
        <v>35</v>
      </c>
      <c r="K13">
        <v>108</v>
      </c>
      <c r="L13">
        <v>29363453</v>
      </c>
      <c r="M13" t="s">
        <v>326</v>
      </c>
    </row>
    <row r="14" spans="1:13" x14ac:dyDescent="0.2">
      <c r="A14" t="s">
        <v>183</v>
      </c>
      <c r="B14" t="s">
        <v>187</v>
      </c>
      <c r="C14" t="s">
        <v>11</v>
      </c>
      <c r="D14" t="s">
        <v>185</v>
      </c>
      <c r="E14">
        <v>34.751899999999999</v>
      </c>
      <c r="F14">
        <v>0.28273100000000001</v>
      </c>
      <c r="G14">
        <v>2008</v>
      </c>
      <c r="H14">
        <v>2008</v>
      </c>
      <c r="I14" t="s">
        <v>73</v>
      </c>
      <c r="J14">
        <v>4</v>
      </c>
      <c r="K14">
        <v>62</v>
      </c>
      <c r="L14">
        <v>29363453</v>
      </c>
    </row>
    <row r="15" spans="1:13" x14ac:dyDescent="0.2">
      <c r="A15" t="s">
        <v>183</v>
      </c>
      <c r="B15" t="s">
        <v>187</v>
      </c>
      <c r="C15" t="s">
        <v>11</v>
      </c>
      <c r="D15" t="s">
        <v>185</v>
      </c>
      <c r="E15">
        <v>34.751899999999999</v>
      </c>
      <c r="F15">
        <v>0.28273100000000001</v>
      </c>
      <c r="G15">
        <v>2008</v>
      </c>
      <c r="H15">
        <v>2008</v>
      </c>
      <c r="I15" t="s">
        <v>71</v>
      </c>
      <c r="J15">
        <v>56</v>
      </c>
      <c r="K15">
        <v>62</v>
      </c>
      <c r="L15">
        <v>29363453</v>
      </c>
      <c r="M15" t="s">
        <v>326</v>
      </c>
    </row>
    <row r="16" spans="1:13" x14ac:dyDescent="0.2">
      <c r="A16" t="s">
        <v>183</v>
      </c>
      <c r="B16" t="s">
        <v>187</v>
      </c>
      <c r="C16" t="s">
        <v>11</v>
      </c>
      <c r="D16" t="s">
        <v>185</v>
      </c>
      <c r="E16">
        <v>34.751899999999999</v>
      </c>
      <c r="F16">
        <v>0.28273100000000001</v>
      </c>
      <c r="G16">
        <v>2008</v>
      </c>
      <c r="H16">
        <v>2008</v>
      </c>
      <c r="I16" t="s">
        <v>72</v>
      </c>
      <c r="J16">
        <v>2</v>
      </c>
      <c r="K16">
        <v>62</v>
      </c>
      <c r="L16">
        <v>29363453</v>
      </c>
    </row>
    <row r="17" spans="1:13" x14ac:dyDescent="0.2">
      <c r="A17" t="s">
        <v>183</v>
      </c>
      <c r="B17" t="s">
        <v>187</v>
      </c>
      <c r="C17" t="s">
        <v>11</v>
      </c>
      <c r="D17" t="s">
        <v>185</v>
      </c>
      <c r="E17">
        <v>34.751899999999999</v>
      </c>
      <c r="F17">
        <v>0.28273100000000001</v>
      </c>
      <c r="G17">
        <v>2008</v>
      </c>
      <c r="H17">
        <v>2008</v>
      </c>
      <c r="I17" t="s">
        <v>76</v>
      </c>
      <c r="J17">
        <v>35</v>
      </c>
      <c r="K17">
        <v>67</v>
      </c>
      <c r="L17">
        <v>29363453</v>
      </c>
    </row>
    <row r="18" spans="1:13" x14ac:dyDescent="0.2">
      <c r="A18" t="s">
        <v>183</v>
      </c>
      <c r="B18" t="s">
        <v>187</v>
      </c>
      <c r="C18" t="s">
        <v>11</v>
      </c>
      <c r="D18" t="s">
        <v>185</v>
      </c>
      <c r="E18">
        <v>34.751899999999999</v>
      </c>
      <c r="F18">
        <v>0.28273100000000001</v>
      </c>
      <c r="G18">
        <v>2008</v>
      </c>
      <c r="H18">
        <v>2008</v>
      </c>
      <c r="I18" t="s">
        <v>74</v>
      </c>
      <c r="J18">
        <v>16</v>
      </c>
      <c r="K18">
        <v>67</v>
      </c>
      <c r="L18">
        <v>29363453</v>
      </c>
    </row>
    <row r="19" spans="1:13" x14ac:dyDescent="0.2">
      <c r="A19" t="s">
        <v>183</v>
      </c>
      <c r="B19" t="s">
        <v>187</v>
      </c>
      <c r="C19" t="s">
        <v>11</v>
      </c>
      <c r="D19" t="s">
        <v>185</v>
      </c>
      <c r="E19">
        <v>34.751899999999999</v>
      </c>
      <c r="F19">
        <v>0.28273100000000001</v>
      </c>
      <c r="G19">
        <v>2008</v>
      </c>
      <c r="H19">
        <v>2008</v>
      </c>
      <c r="I19" t="s">
        <v>75</v>
      </c>
      <c r="J19">
        <v>16</v>
      </c>
      <c r="K19">
        <v>67</v>
      </c>
      <c r="L19">
        <v>29363453</v>
      </c>
    </row>
    <row r="20" spans="1:13" x14ac:dyDescent="0.2">
      <c r="A20" t="s">
        <v>183</v>
      </c>
      <c r="B20" t="s">
        <v>188</v>
      </c>
      <c r="C20" t="s">
        <v>11</v>
      </c>
      <c r="D20" t="s">
        <v>185</v>
      </c>
      <c r="E20">
        <v>34.751899999999999</v>
      </c>
      <c r="F20">
        <v>0.28273100000000001</v>
      </c>
      <c r="G20">
        <v>2015</v>
      </c>
      <c r="H20">
        <v>2015</v>
      </c>
      <c r="I20" t="s">
        <v>73</v>
      </c>
      <c r="J20">
        <v>42</v>
      </c>
      <c r="K20">
        <v>48</v>
      </c>
      <c r="L20">
        <v>29363453</v>
      </c>
    </row>
    <row r="21" spans="1:13" x14ac:dyDescent="0.2">
      <c r="A21" t="s">
        <v>183</v>
      </c>
      <c r="B21" t="s">
        <v>188</v>
      </c>
      <c r="C21" t="s">
        <v>11</v>
      </c>
      <c r="D21" t="s">
        <v>185</v>
      </c>
      <c r="E21">
        <v>34.751899999999999</v>
      </c>
      <c r="F21">
        <v>0.28273100000000001</v>
      </c>
      <c r="G21">
        <v>2015</v>
      </c>
      <c r="H21">
        <v>2015</v>
      </c>
      <c r="I21" t="s">
        <v>71</v>
      </c>
      <c r="J21">
        <v>4</v>
      </c>
      <c r="K21">
        <v>48</v>
      </c>
      <c r="L21">
        <v>29363453</v>
      </c>
    </row>
    <row r="22" spans="1:13" x14ac:dyDescent="0.2">
      <c r="A22" t="s">
        <v>183</v>
      </c>
      <c r="B22" t="s">
        <v>188</v>
      </c>
      <c r="C22" t="s">
        <v>11</v>
      </c>
      <c r="D22" t="s">
        <v>185</v>
      </c>
      <c r="E22">
        <v>34.751899999999999</v>
      </c>
      <c r="F22">
        <v>0.28273100000000001</v>
      </c>
      <c r="G22">
        <v>2015</v>
      </c>
      <c r="H22">
        <v>2015</v>
      </c>
      <c r="I22" t="s">
        <v>72</v>
      </c>
      <c r="J22">
        <v>2</v>
      </c>
      <c r="K22">
        <v>48</v>
      </c>
      <c r="L22">
        <v>29363453</v>
      </c>
    </row>
    <row r="23" spans="1:13" x14ac:dyDescent="0.2">
      <c r="A23" t="s">
        <v>183</v>
      </c>
      <c r="B23" t="s">
        <v>188</v>
      </c>
      <c r="C23" t="s">
        <v>11</v>
      </c>
      <c r="D23" t="s">
        <v>185</v>
      </c>
      <c r="E23">
        <v>34.751899999999999</v>
      </c>
      <c r="F23">
        <v>0.28273100000000001</v>
      </c>
      <c r="G23">
        <v>2015</v>
      </c>
      <c r="H23">
        <v>2015</v>
      </c>
      <c r="I23" t="s">
        <v>76</v>
      </c>
      <c r="J23">
        <v>41</v>
      </c>
      <c r="K23">
        <v>41</v>
      </c>
      <c r="L23">
        <v>29363453</v>
      </c>
    </row>
    <row r="24" spans="1:13" x14ac:dyDescent="0.2">
      <c r="A24" t="s">
        <v>183</v>
      </c>
      <c r="B24" t="s">
        <v>188</v>
      </c>
      <c r="C24" t="s">
        <v>11</v>
      </c>
      <c r="D24" t="s">
        <v>185</v>
      </c>
      <c r="E24">
        <v>34.751899999999999</v>
      </c>
      <c r="F24">
        <v>0.28273100000000001</v>
      </c>
      <c r="G24">
        <v>2015</v>
      </c>
      <c r="H24">
        <v>2015</v>
      </c>
      <c r="I24" t="s">
        <v>74</v>
      </c>
      <c r="J24">
        <v>0</v>
      </c>
      <c r="K24">
        <v>41</v>
      </c>
      <c r="L24">
        <v>29363453</v>
      </c>
    </row>
    <row r="25" spans="1:13" x14ac:dyDescent="0.2">
      <c r="A25" t="s">
        <v>183</v>
      </c>
      <c r="B25" t="s">
        <v>188</v>
      </c>
      <c r="C25" t="s">
        <v>11</v>
      </c>
      <c r="D25" t="s">
        <v>185</v>
      </c>
      <c r="E25">
        <v>34.751899999999999</v>
      </c>
      <c r="F25">
        <v>0.28273100000000001</v>
      </c>
      <c r="G25">
        <v>2015</v>
      </c>
      <c r="H25">
        <v>2015</v>
      </c>
      <c r="I25" t="s">
        <v>75</v>
      </c>
      <c r="J25">
        <v>0</v>
      </c>
      <c r="K25">
        <v>41</v>
      </c>
      <c r="L25">
        <v>29363453</v>
      </c>
    </row>
    <row r="26" spans="1:13" x14ac:dyDescent="0.2">
      <c r="A26" t="s">
        <v>183</v>
      </c>
      <c r="B26" t="s">
        <v>191</v>
      </c>
      <c r="C26" t="s">
        <v>11</v>
      </c>
      <c r="D26" t="s">
        <v>58</v>
      </c>
      <c r="E26">
        <v>34.549999999999997</v>
      </c>
      <c r="F26">
        <v>-4.2806499999999997E-2</v>
      </c>
      <c r="G26">
        <v>2003</v>
      </c>
      <c r="H26">
        <v>2003</v>
      </c>
      <c r="I26" t="s">
        <v>73</v>
      </c>
      <c r="J26">
        <v>4</v>
      </c>
      <c r="K26">
        <v>33</v>
      </c>
      <c r="L26">
        <v>29363453</v>
      </c>
    </row>
    <row r="27" spans="1:13" x14ac:dyDescent="0.2">
      <c r="A27" t="s">
        <v>183</v>
      </c>
      <c r="B27" t="s">
        <v>191</v>
      </c>
      <c r="C27" t="s">
        <v>11</v>
      </c>
      <c r="D27" t="s">
        <v>58</v>
      </c>
      <c r="E27">
        <v>34.549999999999997</v>
      </c>
      <c r="F27">
        <v>-4.2806499999999997E-2</v>
      </c>
      <c r="G27">
        <v>2003</v>
      </c>
      <c r="H27">
        <v>2003</v>
      </c>
      <c r="I27" t="s">
        <v>71</v>
      </c>
      <c r="J27">
        <v>27</v>
      </c>
      <c r="K27">
        <v>33</v>
      </c>
      <c r="L27">
        <v>29363453</v>
      </c>
    </row>
    <row r="28" spans="1:13" x14ac:dyDescent="0.2">
      <c r="A28" t="s">
        <v>183</v>
      </c>
      <c r="B28" t="s">
        <v>191</v>
      </c>
      <c r="C28" t="s">
        <v>11</v>
      </c>
      <c r="D28" t="s">
        <v>58</v>
      </c>
      <c r="E28">
        <v>34.549999999999997</v>
      </c>
      <c r="F28">
        <v>-4.2806499999999997E-2</v>
      </c>
      <c r="G28">
        <v>2003</v>
      </c>
      <c r="H28">
        <v>2003</v>
      </c>
      <c r="I28" t="s">
        <v>72</v>
      </c>
      <c r="J28">
        <v>2</v>
      </c>
      <c r="K28">
        <v>33</v>
      </c>
      <c r="L28">
        <v>29363453</v>
      </c>
    </row>
    <row r="29" spans="1:13" x14ac:dyDescent="0.2">
      <c r="A29" t="s">
        <v>183</v>
      </c>
      <c r="B29" t="s">
        <v>191</v>
      </c>
      <c r="C29" t="s">
        <v>11</v>
      </c>
      <c r="D29" t="s">
        <v>58</v>
      </c>
      <c r="E29">
        <v>34.549999999999997</v>
      </c>
      <c r="F29">
        <v>-4.2806499999999997E-2</v>
      </c>
      <c r="G29">
        <v>2003</v>
      </c>
      <c r="H29">
        <v>2003</v>
      </c>
      <c r="I29" t="s">
        <v>76</v>
      </c>
      <c r="J29">
        <v>7</v>
      </c>
      <c r="K29">
        <v>18</v>
      </c>
      <c r="L29">
        <v>29363453</v>
      </c>
    </row>
    <row r="30" spans="1:13" x14ac:dyDescent="0.2">
      <c r="A30" t="s">
        <v>183</v>
      </c>
      <c r="B30" t="s">
        <v>191</v>
      </c>
      <c r="C30" t="s">
        <v>11</v>
      </c>
      <c r="D30" t="s">
        <v>58</v>
      </c>
      <c r="E30">
        <v>34.549999999999997</v>
      </c>
      <c r="F30">
        <v>-4.2806499999999997E-2</v>
      </c>
      <c r="G30">
        <v>2003</v>
      </c>
      <c r="H30">
        <v>2003</v>
      </c>
      <c r="I30" t="s">
        <v>74</v>
      </c>
      <c r="J30">
        <v>6</v>
      </c>
      <c r="K30">
        <v>18</v>
      </c>
      <c r="L30">
        <v>29363453</v>
      </c>
      <c r="M30" t="s">
        <v>326</v>
      </c>
    </row>
    <row r="31" spans="1:13" x14ac:dyDescent="0.2">
      <c r="A31" t="s">
        <v>183</v>
      </c>
      <c r="B31" t="s">
        <v>191</v>
      </c>
      <c r="C31" t="s">
        <v>11</v>
      </c>
      <c r="D31" t="s">
        <v>58</v>
      </c>
      <c r="E31">
        <v>34.549999999999997</v>
      </c>
      <c r="F31">
        <v>-4.2806499999999997E-2</v>
      </c>
      <c r="G31">
        <v>2003</v>
      </c>
      <c r="H31">
        <v>2003</v>
      </c>
      <c r="I31" t="s">
        <v>75</v>
      </c>
      <c r="J31">
        <v>5</v>
      </c>
      <c r="K31">
        <v>18</v>
      </c>
      <c r="L31">
        <v>29363453</v>
      </c>
    </row>
    <row r="32" spans="1:13" x14ac:dyDescent="0.2">
      <c r="A32" t="s">
        <v>183</v>
      </c>
      <c r="B32" t="s">
        <v>192</v>
      </c>
      <c r="C32" t="s">
        <v>11</v>
      </c>
      <c r="D32" t="s">
        <v>58</v>
      </c>
      <c r="E32">
        <v>34.549999999999997</v>
      </c>
      <c r="F32">
        <v>-4.2806499999999997E-2</v>
      </c>
      <c r="G32">
        <v>2005</v>
      </c>
      <c r="H32">
        <v>2005</v>
      </c>
      <c r="I32" t="s">
        <v>73</v>
      </c>
      <c r="J32">
        <v>12</v>
      </c>
      <c r="K32">
        <v>61</v>
      </c>
      <c r="L32">
        <v>29363453</v>
      </c>
    </row>
    <row r="33" spans="1:13" x14ac:dyDescent="0.2">
      <c r="A33" t="s">
        <v>183</v>
      </c>
      <c r="B33" t="s">
        <v>192</v>
      </c>
      <c r="C33" t="s">
        <v>11</v>
      </c>
      <c r="D33" t="s">
        <v>58</v>
      </c>
      <c r="E33">
        <v>34.549999999999997</v>
      </c>
      <c r="F33">
        <v>-4.2806499999999997E-2</v>
      </c>
      <c r="G33">
        <v>2005</v>
      </c>
      <c r="H33">
        <v>2005</v>
      </c>
      <c r="I33" t="s">
        <v>71</v>
      </c>
      <c r="J33">
        <v>41</v>
      </c>
      <c r="K33">
        <v>61</v>
      </c>
      <c r="L33">
        <v>29363453</v>
      </c>
    </row>
    <row r="34" spans="1:13" x14ac:dyDescent="0.2">
      <c r="A34" t="s">
        <v>183</v>
      </c>
      <c r="B34" t="s">
        <v>192</v>
      </c>
      <c r="C34" t="s">
        <v>11</v>
      </c>
      <c r="D34" t="s">
        <v>58</v>
      </c>
      <c r="E34">
        <v>34.549999999999997</v>
      </c>
      <c r="F34">
        <v>-4.2806499999999997E-2</v>
      </c>
      <c r="G34">
        <v>2005</v>
      </c>
      <c r="H34">
        <v>2005</v>
      </c>
      <c r="I34" t="s">
        <v>72</v>
      </c>
      <c r="J34">
        <v>8</v>
      </c>
      <c r="K34">
        <v>61</v>
      </c>
      <c r="L34">
        <v>29363453</v>
      </c>
    </row>
    <row r="35" spans="1:13" x14ac:dyDescent="0.2">
      <c r="A35" t="s">
        <v>183</v>
      </c>
      <c r="B35" t="s">
        <v>192</v>
      </c>
      <c r="C35" t="s">
        <v>11</v>
      </c>
      <c r="D35" t="s">
        <v>58</v>
      </c>
      <c r="E35">
        <v>34.549999999999997</v>
      </c>
      <c r="F35">
        <v>-4.2806499999999997E-2</v>
      </c>
      <c r="G35">
        <v>2005</v>
      </c>
      <c r="H35">
        <v>2005</v>
      </c>
      <c r="I35" t="s">
        <v>76</v>
      </c>
      <c r="J35">
        <v>27</v>
      </c>
      <c r="K35">
        <v>73</v>
      </c>
      <c r="L35">
        <v>29363453</v>
      </c>
    </row>
    <row r="36" spans="1:13" x14ac:dyDescent="0.2">
      <c r="A36" t="s">
        <v>183</v>
      </c>
      <c r="B36" t="s">
        <v>192</v>
      </c>
      <c r="C36" t="s">
        <v>11</v>
      </c>
      <c r="D36" t="s">
        <v>58</v>
      </c>
      <c r="E36">
        <v>34.549999999999997</v>
      </c>
      <c r="F36">
        <v>-4.2806499999999997E-2</v>
      </c>
      <c r="G36">
        <v>2005</v>
      </c>
      <c r="H36">
        <v>2005</v>
      </c>
      <c r="I36" t="s">
        <v>74</v>
      </c>
      <c r="J36">
        <v>15</v>
      </c>
      <c r="K36">
        <v>73</v>
      </c>
      <c r="L36">
        <v>29363453</v>
      </c>
    </row>
    <row r="37" spans="1:13" x14ac:dyDescent="0.2">
      <c r="A37" t="s">
        <v>183</v>
      </c>
      <c r="B37" t="s">
        <v>192</v>
      </c>
      <c r="C37" t="s">
        <v>11</v>
      </c>
      <c r="D37" t="s">
        <v>58</v>
      </c>
      <c r="E37">
        <v>34.549999999999997</v>
      </c>
      <c r="F37">
        <v>-4.2806499999999997E-2</v>
      </c>
      <c r="G37">
        <v>2005</v>
      </c>
      <c r="H37">
        <v>2005</v>
      </c>
      <c r="I37" t="s">
        <v>75</v>
      </c>
      <c r="J37">
        <v>31</v>
      </c>
      <c r="K37">
        <v>73</v>
      </c>
      <c r="L37">
        <v>29363453</v>
      </c>
    </row>
    <row r="38" spans="1:13" x14ac:dyDescent="0.2">
      <c r="A38" t="s">
        <v>183</v>
      </c>
      <c r="B38" t="s">
        <v>193</v>
      </c>
      <c r="C38" t="s">
        <v>11</v>
      </c>
      <c r="D38" t="s">
        <v>58</v>
      </c>
      <c r="E38">
        <v>34.549999999999997</v>
      </c>
      <c r="F38">
        <v>-4.2806499999999997E-2</v>
      </c>
      <c r="G38">
        <v>2008</v>
      </c>
      <c r="H38">
        <v>2008</v>
      </c>
      <c r="I38" t="s">
        <v>73</v>
      </c>
      <c r="J38">
        <v>49</v>
      </c>
      <c r="K38">
        <v>177</v>
      </c>
      <c r="L38">
        <v>29363453</v>
      </c>
    </row>
    <row r="39" spans="1:13" x14ac:dyDescent="0.2">
      <c r="A39" t="s">
        <v>183</v>
      </c>
      <c r="B39" t="s">
        <v>193</v>
      </c>
      <c r="C39" t="s">
        <v>11</v>
      </c>
      <c r="D39" t="s">
        <v>58</v>
      </c>
      <c r="E39">
        <v>34.549999999999997</v>
      </c>
      <c r="F39">
        <v>-4.2806499999999997E-2</v>
      </c>
      <c r="G39">
        <v>2008</v>
      </c>
      <c r="H39">
        <v>2008</v>
      </c>
      <c r="I39" t="s">
        <v>71</v>
      </c>
      <c r="J39">
        <v>89</v>
      </c>
      <c r="K39">
        <v>177</v>
      </c>
      <c r="L39">
        <v>29363453</v>
      </c>
    </row>
    <row r="40" spans="1:13" x14ac:dyDescent="0.2">
      <c r="A40" t="s">
        <v>183</v>
      </c>
      <c r="B40" t="s">
        <v>193</v>
      </c>
      <c r="C40" t="s">
        <v>11</v>
      </c>
      <c r="D40" t="s">
        <v>58</v>
      </c>
      <c r="E40">
        <v>34.549999999999997</v>
      </c>
      <c r="F40">
        <v>-4.2806499999999997E-2</v>
      </c>
      <c r="G40">
        <v>2008</v>
      </c>
      <c r="H40">
        <v>2008</v>
      </c>
      <c r="I40" t="s">
        <v>72</v>
      </c>
      <c r="J40">
        <v>39</v>
      </c>
      <c r="K40">
        <v>177</v>
      </c>
      <c r="L40">
        <v>29363453</v>
      </c>
    </row>
    <row r="41" spans="1:13" x14ac:dyDescent="0.2">
      <c r="A41" t="s">
        <v>183</v>
      </c>
      <c r="B41" t="s">
        <v>193</v>
      </c>
      <c r="C41" t="s">
        <v>11</v>
      </c>
      <c r="D41" t="s">
        <v>58</v>
      </c>
      <c r="E41">
        <v>34.549999999999997</v>
      </c>
      <c r="F41">
        <v>-4.2806499999999997E-2</v>
      </c>
      <c r="G41">
        <v>2008</v>
      </c>
      <c r="H41">
        <v>2008</v>
      </c>
      <c r="I41" t="s">
        <v>76</v>
      </c>
      <c r="J41">
        <v>57</v>
      </c>
      <c r="K41">
        <v>165</v>
      </c>
      <c r="L41">
        <v>29363453</v>
      </c>
      <c r="M41" t="s">
        <v>326</v>
      </c>
    </row>
    <row r="42" spans="1:13" x14ac:dyDescent="0.2">
      <c r="A42" t="s">
        <v>183</v>
      </c>
      <c r="B42" t="s">
        <v>193</v>
      </c>
      <c r="C42" t="s">
        <v>11</v>
      </c>
      <c r="D42" t="s">
        <v>58</v>
      </c>
      <c r="E42">
        <v>34.549999999999997</v>
      </c>
      <c r="F42">
        <v>-4.2806499999999997E-2</v>
      </c>
      <c r="G42">
        <v>2008</v>
      </c>
      <c r="H42">
        <v>2008</v>
      </c>
      <c r="I42" t="s">
        <v>74</v>
      </c>
      <c r="J42">
        <v>42</v>
      </c>
      <c r="K42">
        <v>165</v>
      </c>
      <c r="L42">
        <v>29363453</v>
      </c>
    </row>
    <row r="43" spans="1:13" x14ac:dyDescent="0.2">
      <c r="A43" t="s">
        <v>183</v>
      </c>
      <c r="B43" t="s">
        <v>193</v>
      </c>
      <c r="C43" t="s">
        <v>11</v>
      </c>
      <c r="D43" t="s">
        <v>58</v>
      </c>
      <c r="E43">
        <v>34.549999999999997</v>
      </c>
      <c r="F43">
        <v>-4.2806499999999997E-2</v>
      </c>
      <c r="G43">
        <v>2008</v>
      </c>
      <c r="H43">
        <v>2008</v>
      </c>
      <c r="I43" t="s">
        <v>75</v>
      </c>
      <c r="J43">
        <v>66</v>
      </c>
      <c r="K43">
        <v>165</v>
      </c>
      <c r="L43">
        <v>29363453</v>
      </c>
    </row>
    <row r="44" spans="1:13" x14ac:dyDescent="0.2">
      <c r="A44" t="s">
        <v>183</v>
      </c>
      <c r="B44" t="s">
        <v>194</v>
      </c>
      <c r="C44" t="s">
        <v>11</v>
      </c>
      <c r="D44" t="s">
        <v>58</v>
      </c>
      <c r="E44">
        <v>34.549999999999997</v>
      </c>
      <c r="F44">
        <v>-4.2806499999999997E-2</v>
      </c>
      <c r="G44">
        <v>2015</v>
      </c>
      <c r="H44">
        <v>2015</v>
      </c>
      <c r="I44" t="s">
        <v>73</v>
      </c>
      <c r="J44">
        <v>73</v>
      </c>
      <c r="K44">
        <v>75</v>
      </c>
      <c r="L44">
        <v>29363453</v>
      </c>
      <c r="M44" t="s">
        <v>326</v>
      </c>
    </row>
    <row r="45" spans="1:13" x14ac:dyDescent="0.2">
      <c r="A45" t="s">
        <v>183</v>
      </c>
      <c r="B45" t="s">
        <v>194</v>
      </c>
      <c r="C45" t="s">
        <v>11</v>
      </c>
      <c r="D45" t="s">
        <v>58</v>
      </c>
      <c r="E45">
        <v>34.549999999999997</v>
      </c>
      <c r="F45">
        <v>-4.2806499999999997E-2</v>
      </c>
      <c r="G45">
        <v>2015</v>
      </c>
      <c r="H45">
        <v>2015</v>
      </c>
      <c r="I45" t="s">
        <v>71</v>
      </c>
      <c r="J45">
        <v>1</v>
      </c>
      <c r="K45">
        <v>75</v>
      </c>
      <c r="L45">
        <v>29363453</v>
      </c>
    </row>
    <row r="46" spans="1:13" x14ac:dyDescent="0.2">
      <c r="A46" t="s">
        <v>183</v>
      </c>
      <c r="B46" t="s">
        <v>194</v>
      </c>
      <c r="C46" t="s">
        <v>11</v>
      </c>
      <c r="D46" t="s">
        <v>58</v>
      </c>
      <c r="E46">
        <v>34.549999999999997</v>
      </c>
      <c r="F46">
        <v>-4.2806499999999997E-2</v>
      </c>
      <c r="G46">
        <v>2015</v>
      </c>
      <c r="H46">
        <v>2015</v>
      </c>
      <c r="I46" t="s">
        <v>72</v>
      </c>
      <c r="J46">
        <v>1</v>
      </c>
      <c r="K46">
        <v>75</v>
      </c>
      <c r="L46">
        <v>29363453</v>
      </c>
    </row>
    <row r="47" spans="1:13" x14ac:dyDescent="0.2">
      <c r="A47" t="s">
        <v>183</v>
      </c>
      <c r="B47" t="s">
        <v>194</v>
      </c>
      <c r="C47" t="s">
        <v>11</v>
      </c>
      <c r="D47" t="s">
        <v>58</v>
      </c>
      <c r="E47">
        <v>34.549999999999997</v>
      </c>
      <c r="F47">
        <v>-4.2806499999999997E-2</v>
      </c>
      <c r="G47">
        <v>2015</v>
      </c>
      <c r="H47">
        <v>2015</v>
      </c>
      <c r="I47" t="s">
        <v>76</v>
      </c>
      <c r="J47">
        <v>84</v>
      </c>
      <c r="K47">
        <v>86</v>
      </c>
      <c r="L47">
        <v>29363453</v>
      </c>
      <c r="M47" t="s">
        <v>326</v>
      </c>
    </row>
    <row r="48" spans="1:13" x14ac:dyDescent="0.2">
      <c r="A48" t="s">
        <v>183</v>
      </c>
      <c r="B48" t="s">
        <v>194</v>
      </c>
      <c r="C48" t="s">
        <v>11</v>
      </c>
      <c r="D48" t="s">
        <v>58</v>
      </c>
      <c r="E48">
        <v>34.549999999999997</v>
      </c>
      <c r="F48">
        <v>-4.2806499999999997E-2</v>
      </c>
      <c r="G48">
        <v>2015</v>
      </c>
      <c r="H48">
        <v>2015</v>
      </c>
      <c r="I48" t="s">
        <v>74</v>
      </c>
      <c r="J48">
        <v>1</v>
      </c>
      <c r="K48">
        <v>86</v>
      </c>
      <c r="L48">
        <v>29363453</v>
      </c>
    </row>
    <row r="49" spans="1:12" x14ac:dyDescent="0.2">
      <c r="A49" t="s">
        <v>183</v>
      </c>
      <c r="B49" t="s">
        <v>194</v>
      </c>
      <c r="C49" t="s">
        <v>11</v>
      </c>
      <c r="D49" t="s">
        <v>58</v>
      </c>
      <c r="E49">
        <v>34.549999999999997</v>
      </c>
      <c r="F49">
        <v>-4.2806499999999997E-2</v>
      </c>
      <c r="G49">
        <v>2015</v>
      </c>
      <c r="H49">
        <v>2015</v>
      </c>
      <c r="I49" t="s">
        <v>75</v>
      </c>
      <c r="J49">
        <v>1</v>
      </c>
      <c r="K49">
        <v>86</v>
      </c>
      <c r="L49">
        <v>29363453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EA639-9862-5945-90B3-B9800533AE5F}">
  <dimension ref="A1:M55"/>
  <sheetViews>
    <sheetView topLeftCell="A6" workbookViewId="0">
      <selection activeCell="L11" sqref="L11"/>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247</v>
      </c>
      <c r="B2" t="s">
        <v>248</v>
      </c>
      <c r="C2" t="s">
        <v>15</v>
      </c>
      <c r="D2" t="s">
        <v>60</v>
      </c>
      <c r="E2">
        <v>33.2042</v>
      </c>
      <c r="F2">
        <v>0.42444399999999999</v>
      </c>
      <c r="G2">
        <v>2012</v>
      </c>
      <c r="H2">
        <v>2012</v>
      </c>
      <c r="I2" t="s">
        <v>74</v>
      </c>
      <c r="J2">
        <v>23</v>
      </c>
      <c r="K2">
        <v>61</v>
      </c>
      <c r="L2">
        <v>28039354</v>
      </c>
    </row>
    <row r="3" spans="1:13" x14ac:dyDescent="0.2">
      <c r="A3" t="s">
        <v>247</v>
      </c>
      <c r="B3" t="s">
        <v>248</v>
      </c>
      <c r="C3" t="s">
        <v>15</v>
      </c>
      <c r="D3" t="s">
        <v>60</v>
      </c>
      <c r="E3">
        <v>33.2042</v>
      </c>
      <c r="F3">
        <v>0.42444399999999999</v>
      </c>
      <c r="G3">
        <v>2012</v>
      </c>
      <c r="H3">
        <v>2012</v>
      </c>
      <c r="I3" t="s">
        <v>75</v>
      </c>
      <c r="J3">
        <v>27</v>
      </c>
      <c r="K3">
        <v>61</v>
      </c>
      <c r="L3">
        <v>28039354</v>
      </c>
      <c r="M3" t="s">
        <v>327</v>
      </c>
    </row>
    <row r="4" spans="1:13" x14ac:dyDescent="0.2">
      <c r="A4" t="s">
        <v>247</v>
      </c>
      <c r="B4" t="s">
        <v>248</v>
      </c>
      <c r="C4" t="s">
        <v>15</v>
      </c>
      <c r="D4" t="s">
        <v>60</v>
      </c>
      <c r="E4">
        <v>33.2042</v>
      </c>
      <c r="F4">
        <v>0.42444399999999999</v>
      </c>
      <c r="G4">
        <v>2012</v>
      </c>
      <c r="H4">
        <v>2012</v>
      </c>
      <c r="I4" t="s">
        <v>76</v>
      </c>
      <c r="J4">
        <v>11</v>
      </c>
      <c r="K4">
        <v>61</v>
      </c>
      <c r="L4">
        <v>28039354</v>
      </c>
      <c r="M4" t="s">
        <v>327</v>
      </c>
    </row>
    <row r="5" spans="1:13" x14ac:dyDescent="0.2">
      <c r="A5" t="s">
        <v>247</v>
      </c>
      <c r="B5" t="s">
        <v>248</v>
      </c>
      <c r="C5" t="s">
        <v>15</v>
      </c>
      <c r="D5" t="s">
        <v>60</v>
      </c>
      <c r="E5">
        <v>33.2042</v>
      </c>
      <c r="F5">
        <v>0.42444399999999999</v>
      </c>
      <c r="G5">
        <v>2012</v>
      </c>
      <c r="H5">
        <v>2012</v>
      </c>
      <c r="I5" t="s">
        <v>71</v>
      </c>
      <c r="J5">
        <v>67</v>
      </c>
      <c r="K5">
        <v>70</v>
      </c>
      <c r="L5">
        <v>28039354</v>
      </c>
      <c r="M5" t="s">
        <v>327</v>
      </c>
    </row>
    <row r="6" spans="1:13" x14ac:dyDescent="0.2">
      <c r="A6" t="s">
        <v>247</v>
      </c>
      <c r="B6" t="s">
        <v>248</v>
      </c>
      <c r="C6" t="s">
        <v>15</v>
      </c>
      <c r="D6" t="s">
        <v>60</v>
      </c>
      <c r="E6">
        <v>33.2042</v>
      </c>
      <c r="F6">
        <v>0.42444399999999999</v>
      </c>
      <c r="G6">
        <v>2012</v>
      </c>
      <c r="H6">
        <v>2012</v>
      </c>
      <c r="I6" t="s">
        <v>73</v>
      </c>
      <c r="J6">
        <v>3</v>
      </c>
      <c r="K6">
        <v>70</v>
      </c>
      <c r="L6">
        <v>28039354</v>
      </c>
      <c r="M6" t="s">
        <v>327</v>
      </c>
    </row>
    <row r="7" spans="1:13" x14ac:dyDescent="0.2">
      <c r="A7" t="s">
        <v>247</v>
      </c>
      <c r="B7" t="s">
        <v>248</v>
      </c>
      <c r="C7" t="s">
        <v>15</v>
      </c>
      <c r="D7" t="s">
        <v>60</v>
      </c>
      <c r="E7">
        <v>33.2042</v>
      </c>
      <c r="F7">
        <v>0.42444399999999999</v>
      </c>
      <c r="G7">
        <v>2012</v>
      </c>
      <c r="H7">
        <v>2012</v>
      </c>
      <c r="I7" t="s">
        <v>72</v>
      </c>
      <c r="J7">
        <v>0</v>
      </c>
      <c r="K7">
        <v>70</v>
      </c>
      <c r="L7">
        <v>28039354</v>
      </c>
    </row>
    <row r="8" spans="1:13" x14ac:dyDescent="0.2">
      <c r="A8" t="s">
        <v>247</v>
      </c>
      <c r="B8" t="s">
        <v>249</v>
      </c>
      <c r="C8" t="s">
        <v>15</v>
      </c>
      <c r="D8" t="s">
        <v>60</v>
      </c>
      <c r="E8">
        <v>33.2042</v>
      </c>
      <c r="F8">
        <v>0.42444399999999999</v>
      </c>
      <c r="G8">
        <v>2013</v>
      </c>
      <c r="H8">
        <v>2013</v>
      </c>
      <c r="I8" t="s">
        <v>74</v>
      </c>
      <c r="J8">
        <v>2</v>
      </c>
      <c r="K8">
        <v>45</v>
      </c>
      <c r="L8">
        <v>28039354</v>
      </c>
      <c r="M8" t="s">
        <v>327</v>
      </c>
    </row>
    <row r="9" spans="1:13" x14ac:dyDescent="0.2">
      <c r="A9" t="s">
        <v>247</v>
      </c>
      <c r="B9" t="s">
        <v>249</v>
      </c>
      <c r="C9" t="s">
        <v>15</v>
      </c>
      <c r="D9" t="s">
        <v>60</v>
      </c>
      <c r="E9">
        <v>33.2042</v>
      </c>
      <c r="F9">
        <v>0.42444399999999999</v>
      </c>
      <c r="G9">
        <v>2013</v>
      </c>
      <c r="H9">
        <v>2013</v>
      </c>
      <c r="I9" t="s">
        <v>75</v>
      </c>
      <c r="J9">
        <v>13</v>
      </c>
      <c r="K9">
        <v>45</v>
      </c>
      <c r="L9">
        <v>28039354</v>
      </c>
      <c r="M9" t="s">
        <v>327</v>
      </c>
    </row>
    <row r="10" spans="1:13" x14ac:dyDescent="0.2">
      <c r="A10" t="s">
        <v>247</v>
      </c>
      <c r="B10" t="s">
        <v>249</v>
      </c>
      <c r="C10" t="s">
        <v>15</v>
      </c>
      <c r="D10" t="s">
        <v>60</v>
      </c>
      <c r="E10">
        <v>33.2042</v>
      </c>
      <c r="F10">
        <v>0.42444399999999999</v>
      </c>
      <c r="G10">
        <v>2013</v>
      </c>
      <c r="H10">
        <v>2013</v>
      </c>
      <c r="I10" t="s">
        <v>76</v>
      </c>
      <c r="J10">
        <v>30</v>
      </c>
      <c r="K10">
        <v>45</v>
      </c>
      <c r="L10">
        <v>28039354</v>
      </c>
      <c r="M10" t="s">
        <v>327</v>
      </c>
    </row>
    <row r="11" spans="1:13" x14ac:dyDescent="0.2">
      <c r="A11" t="s">
        <v>247</v>
      </c>
      <c r="B11" t="s">
        <v>249</v>
      </c>
      <c r="C11" t="s">
        <v>15</v>
      </c>
      <c r="D11" t="s">
        <v>60</v>
      </c>
      <c r="E11">
        <v>33.2042</v>
      </c>
      <c r="F11">
        <v>0.42444399999999999</v>
      </c>
      <c r="G11">
        <v>2013</v>
      </c>
      <c r="H11">
        <v>2013</v>
      </c>
      <c r="I11" t="s">
        <v>71</v>
      </c>
      <c r="J11">
        <v>43</v>
      </c>
      <c r="K11">
        <v>50</v>
      </c>
      <c r="L11">
        <v>28039354</v>
      </c>
      <c r="M11" t="s">
        <v>327</v>
      </c>
    </row>
    <row r="12" spans="1:13" x14ac:dyDescent="0.2">
      <c r="A12" t="s">
        <v>247</v>
      </c>
      <c r="B12" t="s">
        <v>249</v>
      </c>
      <c r="C12" t="s">
        <v>15</v>
      </c>
      <c r="D12" t="s">
        <v>60</v>
      </c>
      <c r="E12">
        <v>33.2042</v>
      </c>
      <c r="F12">
        <v>0.42444399999999999</v>
      </c>
      <c r="G12">
        <v>2013</v>
      </c>
      <c r="H12">
        <v>2013</v>
      </c>
      <c r="I12" t="s">
        <v>72</v>
      </c>
      <c r="J12">
        <v>5</v>
      </c>
      <c r="K12">
        <v>50</v>
      </c>
      <c r="L12">
        <v>28039354</v>
      </c>
      <c r="M12" t="s">
        <v>327</v>
      </c>
    </row>
    <row r="13" spans="1:13" x14ac:dyDescent="0.2">
      <c r="A13" t="s">
        <v>247</v>
      </c>
      <c r="B13" t="s">
        <v>249</v>
      </c>
      <c r="C13" t="s">
        <v>15</v>
      </c>
      <c r="D13" t="s">
        <v>60</v>
      </c>
      <c r="E13">
        <v>33.2042</v>
      </c>
      <c r="F13">
        <v>0.42444399999999999</v>
      </c>
      <c r="G13">
        <v>2013</v>
      </c>
      <c r="H13">
        <v>2013</v>
      </c>
      <c r="I13" t="s">
        <v>73</v>
      </c>
      <c r="J13">
        <v>2</v>
      </c>
      <c r="K13">
        <v>50</v>
      </c>
      <c r="L13">
        <v>28039354</v>
      </c>
    </row>
    <row r="14" spans="1:13" x14ac:dyDescent="0.2">
      <c r="A14" t="s">
        <v>247</v>
      </c>
      <c r="B14" t="s">
        <v>250</v>
      </c>
      <c r="C14" t="s">
        <v>15</v>
      </c>
      <c r="D14" t="s">
        <v>60</v>
      </c>
      <c r="E14">
        <v>33.2042</v>
      </c>
      <c r="F14">
        <v>0.42444399999999999</v>
      </c>
      <c r="G14">
        <v>2015</v>
      </c>
      <c r="H14">
        <v>2015</v>
      </c>
      <c r="I14" t="s">
        <v>74</v>
      </c>
      <c r="J14">
        <v>0</v>
      </c>
      <c r="K14">
        <v>36</v>
      </c>
      <c r="L14">
        <v>28039354</v>
      </c>
    </row>
    <row r="15" spans="1:13" x14ac:dyDescent="0.2">
      <c r="A15" t="s">
        <v>247</v>
      </c>
      <c r="B15" t="s">
        <v>250</v>
      </c>
      <c r="C15" t="s">
        <v>15</v>
      </c>
      <c r="D15" t="s">
        <v>60</v>
      </c>
      <c r="E15">
        <v>33.2042</v>
      </c>
      <c r="F15">
        <v>0.42444399999999999</v>
      </c>
      <c r="G15">
        <v>2015</v>
      </c>
      <c r="H15">
        <v>2015</v>
      </c>
      <c r="I15" t="s">
        <v>75</v>
      </c>
      <c r="J15">
        <v>5</v>
      </c>
      <c r="K15">
        <v>36</v>
      </c>
      <c r="L15">
        <v>28039354</v>
      </c>
    </row>
    <row r="16" spans="1:13" x14ac:dyDescent="0.2">
      <c r="A16" t="s">
        <v>247</v>
      </c>
      <c r="B16" t="s">
        <v>250</v>
      </c>
      <c r="C16" t="s">
        <v>15</v>
      </c>
      <c r="D16" t="s">
        <v>60</v>
      </c>
      <c r="E16">
        <v>33.2042</v>
      </c>
      <c r="F16">
        <v>0.42444399999999999</v>
      </c>
      <c r="G16">
        <v>2015</v>
      </c>
      <c r="H16">
        <v>2015</v>
      </c>
      <c r="I16" t="s">
        <v>76</v>
      </c>
      <c r="J16">
        <v>31</v>
      </c>
      <c r="K16">
        <v>36</v>
      </c>
      <c r="L16">
        <v>28039354</v>
      </c>
    </row>
    <row r="17" spans="1:13" x14ac:dyDescent="0.2">
      <c r="A17" t="s">
        <v>247</v>
      </c>
      <c r="B17" t="s">
        <v>250</v>
      </c>
      <c r="C17" t="s">
        <v>15</v>
      </c>
      <c r="D17" t="s">
        <v>60</v>
      </c>
      <c r="E17">
        <v>33.2042</v>
      </c>
      <c r="F17">
        <v>0.42444399999999999</v>
      </c>
      <c r="G17">
        <v>2015</v>
      </c>
      <c r="H17">
        <v>2015</v>
      </c>
      <c r="I17" t="s">
        <v>71</v>
      </c>
      <c r="J17">
        <v>24</v>
      </c>
      <c r="K17">
        <v>35</v>
      </c>
      <c r="L17">
        <v>28039354</v>
      </c>
      <c r="M17" t="s">
        <v>327</v>
      </c>
    </row>
    <row r="18" spans="1:13" x14ac:dyDescent="0.2">
      <c r="A18" t="s">
        <v>247</v>
      </c>
      <c r="B18" t="s">
        <v>250</v>
      </c>
      <c r="C18" t="s">
        <v>15</v>
      </c>
      <c r="D18" t="s">
        <v>60</v>
      </c>
      <c r="E18">
        <v>33.2042</v>
      </c>
      <c r="F18">
        <v>0.42444399999999999</v>
      </c>
      <c r="G18">
        <v>2015</v>
      </c>
      <c r="H18">
        <v>2015</v>
      </c>
      <c r="I18" t="s">
        <v>72</v>
      </c>
      <c r="J18">
        <v>6</v>
      </c>
      <c r="K18">
        <v>35</v>
      </c>
      <c r="L18">
        <v>28039354</v>
      </c>
      <c r="M18" t="s">
        <v>327</v>
      </c>
    </row>
    <row r="19" spans="1:13" x14ac:dyDescent="0.2">
      <c r="A19" t="s">
        <v>247</v>
      </c>
      <c r="B19" t="s">
        <v>250</v>
      </c>
      <c r="C19" t="s">
        <v>15</v>
      </c>
      <c r="D19" t="s">
        <v>60</v>
      </c>
      <c r="E19">
        <v>33.2042</v>
      </c>
      <c r="F19">
        <v>0.42444399999999999</v>
      </c>
      <c r="G19">
        <v>2015</v>
      </c>
      <c r="H19">
        <v>2015</v>
      </c>
      <c r="I19" t="s">
        <v>73</v>
      </c>
      <c r="J19">
        <v>5</v>
      </c>
      <c r="K19">
        <v>35</v>
      </c>
      <c r="L19">
        <v>28039354</v>
      </c>
    </row>
    <row r="20" spans="1:13" x14ac:dyDescent="0.2">
      <c r="A20" t="s">
        <v>247</v>
      </c>
      <c r="B20" t="s">
        <v>256</v>
      </c>
      <c r="C20" t="s">
        <v>15</v>
      </c>
      <c r="D20" t="s">
        <v>61</v>
      </c>
      <c r="E20">
        <v>29.742599999999999</v>
      </c>
      <c r="F20">
        <v>-0.81952499999999995</v>
      </c>
      <c r="G20">
        <v>2012</v>
      </c>
      <c r="H20">
        <v>2012</v>
      </c>
      <c r="I20" t="s">
        <v>74</v>
      </c>
      <c r="J20">
        <v>28</v>
      </c>
      <c r="K20">
        <v>77</v>
      </c>
      <c r="L20">
        <v>28039354</v>
      </c>
      <c r="M20" t="s">
        <v>327</v>
      </c>
    </row>
    <row r="21" spans="1:13" x14ac:dyDescent="0.2">
      <c r="A21" t="s">
        <v>247</v>
      </c>
      <c r="B21" t="s">
        <v>256</v>
      </c>
      <c r="C21" t="s">
        <v>15</v>
      </c>
      <c r="D21" t="s">
        <v>61</v>
      </c>
      <c r="E21">
        <v>29.742599999999999</v>
      </c>
      <c r="F21">
        <v>-0.81952499999999995</v>
      </c>
      <c r="G21">
        <v>2012</v>
      </c>
      <c r="H21">
        <v>2012</v>
      </c>
      <c r="I21" t="s">
        <v>75</v>
      </c>
      <c r="J21">
        <v>34</v>
      </c>
      <c r="K21">
        <v>77</v>
      </c>
      <c r="L21">
        <v>28039354</v>
      </c>
      <c r="M21" t="s">
        <v>327</v>
      </c>
    </row>
    <row r="22" spans="1:13" x14ac:dyDescent="0.2">
      <c r="A22" t="s">
        <v>247</v>
      </c>
      <c r="B22" t="s">
        <v>256</v>
      </c>
      <c r="C22" t="s">
        <v>15</v>
      </c>
      <c r="D22" t="s">
        <v>61</v>
      </c>
      <c r="E22">
        <v>29.742599999999999</v>
      </c>
      <c r="F22">
        <v>-0.81952499999999995</v>
      </c>
      <c r="G22">
        <v>2012</v>
      </c>
      <c r="H22">
        <v>2012</v>
      </c>
      <c r="I22" t="s">
        <v>76</v>
      </c>
      <c r="J22">
        <v>15</v>
      </c>
      <c r="K22">
        <v>77</v>
      </c>
      <c r="L22">
        <v>28039354</v>
      </c>
    </row>
    <row r="23" spans="1:13" x14ac:dyDescent="0.2">
      <c r="A23" t="s">
        <v>247</v>
      </c>
      <c r="B23" t="s">
        <v>256</v>
      </c>
      <c r="C23" t="s">
        <v>15</v>
      </c>
      <c r="D23" t="s">
        <v>61</v>
      </c>
      <c r="E23">
        <v>29.742599999999999</v>
      </c>
      <c r="F23">
        <v>-0.81952499999999995</v>
      </c>
      <c r="G23">
        <v>2012</v>
      </c>
      <c r="H23">
        <v>2012</v>
      </c>
      <c r="I23" t="s">
        <v>71</v>
      </c>
      <c r="J23">
        <v>81</v>
      </c>
      <c r="K23">
        <v>86</v>
      </c>
      <c r="L23">
        <v>28039354</v>
      </c>
      <c r="M23" t="s">
        <v>327</v>
      </c>
    </row>
    <row r="24" spans="1:13" x14ac:dyDescent="0.2">
      <c r="A24" t="s">
        <v>247</v>
      </c>
      <c r="B24" t="s">
        <v>256</v>
      </c>
      <c r="C24" t="s">
        <v>15</v>
      </c>
      <c r="D24" t="s">
        <v>61</v>
      </c>
      <c r="E24">
        <v>29.742599999999999</v>
      </c>
      <c r="F24">
        <v>-0.81952499999999995</v>
      </c>
      <c r="G24">
        <v>2012</v>
      </c>
      <c r="H24">
        <v>2012</v>
      </c>
      <c r="I24" t="s">
        <v>72</v>
      </c>
      <c r="J24">
        <v>2</v>
      </c>
      <c r="K24">
        <v>86</v>
      </c>
      <c r="L24">
        <v>28039354</v>
      </c>
      <c r="M24" t="s">
        <v>327</v>
      </c>
    </row>
    <row r="25" spans="1:13" x14ac:dyDescent="0.2">
      <c r="A25" t="s">
        <v>247</v>
      </c>
      <c r="B25" t="s">
        <v>256</v>
      </c>
      <c r="C25" t="s">
        <v>15</v>
      </c>
      <c r="D25" t="s">
        <v>61</v>
      </c>
      <c r="E25">
        <v>29.742599999999999</v>
      </c>
      <c r="F25">
        <v>-0.81952499999999995</v>
      </c>
      <c r="G25">
        <v>2012</v>
      </c>
      <c r="H25">
        <v>2012</v>
      </c>
      <c r="I25" t="s">
        <v>73</v>
      </c>
      <c r="J25">
        <v>3</v>
      </c>
      <c r="K25">
        <v>86</v>
      </c>
      <c r="L25">
        <v>28039354</v>
      </c>
      <c r="M25" t="s">
        <v>327</v>
      </c>
    </row>
    <row r="26" spans="1:13" x14ac:dyDescent="0.2">
      <c r="A26" t="s">
        <v>247</v>
      </c>
      <c r="B26" t="s">
        <v>257</v>
      </c>
      <c r="C26" t="s">
        <v>15</v>
      </c>
      <c r="D26" t="s">
        <v>61</v>
      </c>
      <c r="E26">
        <v>29.742599999999999</v>
      </c>
      <c r="F26">
        <v>-0.81952499999999995</v>
      </c>
      <c r="G26">
        <v>2013</v>
      </c>
      <c r="H26">
        <v>2013</v>
      </c>
      <c r="I26" t="s">
        <v>74</v>
      </c>
      <c r="J26">
        <v>8</v>
      </c>
      <c r="K26">
        <v>60</v>
      </c>
      <c r="L26">
        <v>28039354</v>
      </c>
      <c r="M26" t="s">
        <v>327</v>
      </c>
    </row>
    <row r="27" spans="1:13" x14ac:dyDescent="0.2">
      <c r="A27" t="s">
        <v>247</v>
      </c>
      <c r="B27" t="s">
        <v>257</v>
      </c>
      <c r="C27" t="s">
        <v>15</v>
      </c>
      <c r="D27" t="s">
        <v>61</v>
      </c>
      <c r="E27">
        <v>29.742599999999999</v>
      </c>
      <c r="F27">
        <v>-0.81952499999999995</v>
      </c>
      <c r="G27">
        <v>2013</v>
      </c>
      <c r="H27">
        <v>2013</v>
      </c>
      <c r="I27" t="s">
        <v>75</v>
      </c>
      <c r="J27">
        <v>16</v>
      </c>
      <c r="K27">
        <v>60</v>
      </c>
      <c r="L27">
        <v>28039354</v>
      </c>
      <c r="M27" t="s">
        <v>327</v>
      </c>
    </row>
    <row r="28" spans="1:13" x14ac:dyDescent="0.2">
      <c r="A28" t="s">
        <v>247</v>
      </c>
      <c r="B28" t="s">
        <v>257</v>
      </c>
      <c r="C28" t="s">
        <v>15</v>
      </c>
      <c r="D28" t="s">
        <v>61</v>
      </c>
      <c r="E28">
        <v>29.742599999999999</v>
      </c>
      <c r="F28">
        <v>-0.81952499999999995</v>
      </c>
      <c r="G28">
        <v>2013</v>
      </c>
      <c r="H28">
        <v>2013</v>
      </c>
      <c r="I28" t="s">
        <v>76</v>
      </c>
      <c r="J28">
        <v>36</v>
      </c>
      <c r="K28">
        <v>60</v>
      </c>
      <c r="L28">
        <v>28039354</v>
      </c>
    </row>
    <row r="29" spans="1:13" x14ac:dyDescent="0.2">
      <c r="A29" t="s">
        <v>247</v>
      </c>
      <c r="B29" t="s">
        <v>257</v>
      </c>
      <c r="C29" t="s">
        <v>15</v>
      </c>
      <c r="D29" t="s">
        <v>61</v>
      </c>
      <c r="E29">
        <v>29.742599999999999</v>
      </c>
      <c r="F29">
        <v>-0.81952499999999995</v>
      </c>
      <c r="G29">
        <v>2013</v>
      </c>
      <c r="H29">
        <v>2013</v>
      </c>
      <c r="I29" t="s">
        <v>71</v>
      </c>
      <c r="J29">
        <v>43</v>
      </c>
      <c r="K29">
        <v>66</v>
      </c>
      <c r="L29">
        <v>28039354</v>
      </c>
      <c r="M29" t="s">
        <v>327</v>
      </c>
    </row>
    <row r="30" spans="1:13" x14ac:dyDescent="0.2">
      <c r="A30" t="s">
        <v>247</v>
      </c>
      <c r="B30" t="s">
        <v>257</v>
      </c>
      <c r="C30" t="s">
        <v>15</v>
      </c>
      <c r="D30" t="s">
        <v>61</v>
      </c>
      <c r="E30">
        <v>29.742599999999999</v>
      </c>
      <c r="F30">
        <v>-0.81952499999999995</v>
      </c>
      <c r="G30">
        <v>2013</v>
      </c>
      <c r="H30">
        <v>2013</v>
      </c>
      <c r="I30" t="s">
        <v>72</v>
      </c>
      <c r="J30">
        <v>13</v>
      </c>
      <c r="K30">
        <v>66</v>
      </c>
      <c r="L30">
        <v>28039354</v>
      </c>
      <c r="M30" t="s">
        <v>327</v>
      </c>
    </row>
    <row r="31" spans="1:13" x14ac:dyDescent="0.2">
      <c r="A31" t="s">
        <v>247</v>
      </c>
      <c r="B31" t="s">
        <v>257</v>
      </c>
      <c r="C31" t="s">
        <v>15</v>
      </c>
      <c r="D31" t="s">
        <v>61</v>
      </c>
      <c r="E31">
        <v>29.742599999999999</v>
      </c>
      <c r="F31">
        <v>-0.81952499999999995</v>
      </c>
      <c r="G31">
        <v>2013</v>
      </c>
      <c r="H31">
        <v>2013</v>
      </c>
      <c r="I31" t="s">
        <v>73</v>
      </c>
      <c r="J31">
        <v>10</v>
      </c>
      <c r="K31">
        <v>66</v>
      </c>
      <c r="L31">
        <v>28039354</v>
      </c>
      <c r="M31" t="s">
        <v>327</v>
      </c>
    </row>
    <row r="32" spans="1:13" x14ac:dyDescent="0.2">
      <c r="A32" t="s">
        <v>247</v>
      </c>
      <c r="B32" t="s">
        <v>258</v>
      </c>
      <c r="C32" t="s">
        <v>15</v>
      </c>
      <c r="D32" t="s">
        <v>61</v>
      </c>
      <c r="E32">
        <v>29.742599999999999</v>
      </c>
      <c r="F32">
        <v>-0.81952499999999995</v>
      </c>
      <c r="G32">
        <v>2015</v>
      </c>
      <c r="H32">
        <v>2015</v>
      </c>
      <c r="I32" t="s">
        <v>74</v>
      </c>
      <c r="J32">
        <v>2</v>
      </c>
      <c r="K32">
        <v>114</v>
      </c>
      <c r="L32">
        <v>28039354</v>
      </c>
      <c r="M32" t="s">
        <v>327</v>
      </c>
    </row>
    <row r="33" spans="1:13" x14ac:dyDescent="0.2">
      <c r="A33" t="s">
        <v>247</v>
      </c>
      <c r="B33" t="s">
        <v>258</v>
      </c>
      <c r="C33" t="s">
        <v>15</v>
      </c>
      <c r="D33" t="s">
        <v>61</v>
      </c>
      <c r="E33">
        <v>29.742599999999999</v>
      </c>
      <c r="F33">
        <v>-0.81952499999999995</v>
      </c>
      <c r="G33">
        <v>2015</v>
      </c>
      <c r="H33">
        <v>2015</v>
      </c>
      <c r="I33" t="s">
        <v>75</v>
      </c>
      <c r="J33">
        <v>7</v>
      </c>
      <c r="K33">
        <v>114</v>
      </c>
      <c r="L33">
        <v>28039354</v>
      </c>
      <c r="M33" t="s">
        <v>327</v>
      </c>
    </row>
    <row r="34" spans="1:13" x14ac:dyDescent="0.2">
      <c r="A34" t="s">
        <v>247</v>
      </c>
      <c r="B34" t="s">
        <v>258</v>
      </c>
      <c r="C34" t="s">
        <v>15</v>
      </c>
      <c r="D34" t="s">
        <v>61</v>
      </c>
      <c r="E34">
        <v>29.742599999999999</v>
      </c>
      <c r="F34">
        <v>-0.81952499999999995</v>
      </c>
      <c r="G34">
        <v>2015</v>
      </c>
      <c r="H34">
        <v>2015</v>
      </c>
      <c r="I34" t="s">
        <v>76</v>
      </c>
      <c r="J34">
        <v>105</v>
      </c>
      <c r="K34">
        <v>114</v>
      </c>
      <c r="L34">
        <v>28039354</v>
      </c>
      <c r="M34" t="s">
        <v>327</v>
      </c>
    </row>
    <row r="35" spans="1:13" x14ac:dyDescent="0.2">
      <c r="A35" t="s">
        <v>247</v>
      </c>
      <c r="B35" t="s">
        <v>258</v>
      </c>
      <c r="C35" t="s">
        <v>15</v>
      </c>
      <c r="D35" t="s">
        <v>61</v>
      </c>
      <c r="E35">
        <v>29.742599999999999</v>
      </c>
      <c r="F35">
        <v>-0.81952499999999995</v>
      </c>
      <c r="G35">
        <v>2015</v>
      </c>
      <c r="H35">
        <v>2015</v>
      </c>
      <c r="I35" t="s">
        <v>71</v>
      </c>
      <c r="J35">
        <v>69</v>
      </c>
      <c r="K35">
        <v>117</v>
      </c>
      <c r="L35">
        <v>28039354</v>
      </c>
      <c r="M35" t="s">
        <v>327</v>
      </c>
    </row>
    <row r="36" spans="1:13" x14ac:dyDescent="0.2">
      <c r="A36" t="s">
        <v>247</v>
      </c>
      <c r="B36" t="s">
        <v>258</v>
      </c>
      <c r="C36" t="s">
        <v>15</v>
      </c>
      <c r="D36" t="s">
        <v>61</v>
      </c>
      <c r="E36">
        <v>29.742599999999999</v>
      </c>
      <c r="F36">
        <v>-0.81952499999999995</v>
      </c>
      <c r="G36">
        <v>2015</v>
      </c>
      <c r="H36">
        <v>2015</v>
      </c>
      <c r="I36" t="s">
        <v>72</v>
      </c>
      <c r="J36">
        <v>13</v>
      </c>
      <c r="K36">
        <v>117</v>
      </c>
      <c r="L36">
        <v>28039354</v>
      </c>
      <c r="M36" t="s">
        <v>327</v>
      </c>
    </row>
    <row r="37" spans="1:13" x14ac:dyDescent="0.2">
      <c r="A37" t="s">
        <v>247</v>
      </c>
      <c r="B37" t="s">
        <v>258</v>
      </c>
      <c r="C37" t="s">
        <v>15</v>
      </c>
      <c r="D37" t="s">
        <v>61</v>
      </c>
      <c r="E37">
        <v>29.742599999999999</v>
      </c>
      <c r="F37">
        <v>-0.81952499999999995</v>
      </c>
      <c r="G37">
        <v>2015</v>
      </c>
      <c r="H37">
        <v>2015</v>
      </c>
      <c r="I37" t="s">
        <v>73</v>
      </c>
      <c r="J37">
        <v>35</v>
      </c>
      <c r="K37">
        <v>117</v>
      </c>
      <c r="L37">
        <v>28039354</v>
      </c>
    </row>
    <row r="38" spans="1:13" x14ac:dyDescent="0.2">
      <c r="A38" t="s">
        <v>247</v>
      </c>
      <c r="B38" t="s">
        <v>265</v>
      </c>
      <c r="C38" t="s">
        <v>15</v>
      </c>
      <c r="D38" t="s">
        <v>16</v>
      </c>
      <c r="E38">
        <v>34.181100000000001</v>
      </c>
      <c r="F38">
        <v>0.692778</v>
      </c>
      <c r="G38">
        <v>2012</v>
      </c>
      <c r="H38">
        <v>2012</v>
      </c>
      <c r="I38" t="s">
        <v>74</v>
      </c>
      <c r="J38">
        <v>26</v>
      </c>
      <c r="K38">
        <v>317</v>
      </c>
      <c r="L38">
        <v>28039354</v>
      </c>
      <c r="M38" t="s">
        <v>327</v>
      </c>
    </row>
    <row r="39" spans="1:13" x14ac:dyDescent="0.2">
      <c r="A39" t="s">
        <v>247</v>
      </c>
      <c r="B39" t="s">
        <v>265</v>
      </c>
      <c r="C39" t="s">
        <v>15</v>
      </c>
      <c r="D39" t="s">
        <v>16</v>
      </c>
      <c r="E39">
        <v>34.181100000000001</v>
      </c>
      <c r="F39">
        <v>0.692778</v>
      </c>
      <c r="G39">
        <v>2012</v>
      </c>
      <c r="H39">
        <v>2012</v>
      </c>
      <c r="I39" t="s">
        <v>75</v>
      </c>
      <c r="J39">
        <v>163</v>
      </c>
      <c r="K39">
        <v>317</v>
      </c>
      <c r="L39">
        <v>28039354</v>
      </c>
      <c r="M39" t="s">
        <v>327</v>
      </c>
    </row>
    <row r="40" spans="1:13" x14ac:dyDescent="0.2">
      <c r="A40" t="s">
        <v>247</v>
      </c>
      <c r="B40" t="s">
        <v>265</v>
      </c>
      <c r="C40" t="s">
        <v>15</v>
      </c>
      <c r="D40" t="s">
        <v>16</v>
      </c>
      <c r="E40">
        <v>34.181100000000001</v>
      </c>
      <c r="F40">
        <v>0.692778</v>
      </c>
      <c r="G40">
        <v>2012</v>
      </c>
      <c r="H40">
        <v>2012</v>
      </c>
      <c r="I40" t="s">
        <v>76</v>
      </c>
      <c r="J40">
        <v>128</v>
      </c>
      <c r="K40">
        <v>317</v>
      </c>
      <c r="L40">
        <v>28039354</v>
      </c>
      <c r="M40" t="s">
        <v>327</v>
      </c>
    </row>
    <row r="41" spans="1:13" x14ac:dyDescent="0.2">
      <c r="A41" t="s">
        <v>247</v>
      </c>
      <c r="B41" t="s">
        <v>265</v>
      </c>
      <c r="C41" t="s">
        <v>15</v>
      </c>
      <c r="D41" t="s">
        <v>16</v>
      </c>
      <c r="E41">
        <v>34.181100000000001</v>
      </c>
      <c r="F41">
        <v>0.692778</v>
      </c>
      <c r="G41">
        <v>2012</v>
      </c>
      <c r="H41">
        <v>2012</v>
      </c>
      <c r="I41" t="s">
        <v>71</v>
      </c>
      <c r="J41">
        <v>288</v>
      </c>
      <c r="K41">
        <v>342</v>
      </c>
      <c r="L41">
        <v>28039354</v>
      </c>
      <c r="M41" t="s">
        <v>327</v>
      </c>
    </row>
    <row r="42" spans="1:13" x14ac:dyDescent="0.2">
      <c r="A42" t="s">
        <v>247</v>
      </c>
      <c r="B42" t="s">
        <v>265</v>
      </c>
      <c r="C42" t="s">
        <v>15</v>
      </c>
      <c r="D42" t="s">
        <v>16</v>
      </c>
      <c r="E42">
        <v>34.181100000000001</v>
      </c>
      <c r="F42">
        <v>0.692778</v>
      </c>
      <c r="G42">
        <v>2012</v>
      </c>
      <c r="H42">
        <v>2012</v>
      </c>
      <c r="I42" t="s">
        <v>72</v>
      </c>
      <c r="J42">
        <v>45</v>
      </c>
      <c r="K42">
        <v>342</v>
      </c>
      <c r="L42">
        <v>28039354</v>
      </c>
      <c r="M42" t="s">
        <v>327</v>
      </c>
    </row>
    <row r="43" spans="1:13" x14ac:dyDescent="0.2">
      <c r="A43" t="s">
        <v>247</v>
      </c>
      <c r="B43" t="s">
        <v>265</v>
      </c>
      <c r="C43" t="s">
        <v>15</v>
      </c>
      <c r="D43" t="s">
        <v>16</v>
      </c>
      <c r="E43">
        <v>34.181100000000001</v>
      </c>
      <c r="F43">
        <v>0.692778</v>
      </c>
      <c r="G43">
        <v>2012</v>
      </c>
      <c r="H43">
        <v>2012</v>
      </c>
      <c r="I43" t="s">
        <v>73</v>
      </c>
      <c r="J43">
        <v>9</v>
      </c>
      <c r="K43">
        <v>342</v>
      </c>
      <c r="L43">
        <v>28039354</v>
      </c>
      <c r="M43" t="s">
        <v>327</v>
      </c>
    </row>
    <row r="44" spans="1:13" x14ac:dyDescent="0.2">
      <c r="A44" t="s">
        <v>247</v>
      </c>
      <c r="B44" t="s">
        <v>266</v>
      </c>
      <c r="C44" t="s">
        <v>15</v>
      </c>
      <c r="D44" t="s">
        <v>16</v>
      </c>
      <c r="E44">
        <v>34.181100000000001</v>
      </c>
      <c r="F44">
        <v>0.692778</v>
      </c>
      <c r="G44">
        <v>2013</v>
      </c>
      <c r="H44">
        <v>2013</v>
      </c>
      <c r="I44" t="s">
        <v>74</v>
      </c>
      <c r="J44">
        <v>42</v>
      </c>
      <c r="K44">
        <v>363</v>
      </c>
      <c r="L44">
        <v>28039354</v>
      </c>
      <c r="M44" t="s">
        <v>327</v>
      </c>
    </row>
    <row r="45" spans="1:13" x14ac:dyDescent="0.2">
      <c r="A45" t="s">
        <v>247</v>
      </c>
      <c r="B45" t="s">
        <v>266</v>
      </c>
      <c r="C45" t="s">
        <v>15</v>
      </c>
      <c r="D45" t="s">
        <v>16</v>
      </c>
      <c r="E45">
        <v>34.181100000000001</v>
      </c>
      <c r="F45">
        <v>0.692778</v>
      </c>
      <c r="G45">
        <v>2013</v>
      </c>
      <c r="H45">
        <v>2013</v>
      </c>
      <c r="I45" t="s">
        <v>75</v>
      </c>
      <c r="J45">
        <v>151</v>
      </c>
      <c r="K45">
        <v>363</v>
      </c>
      <c r="L45">
        <v>28039354</v>
      </c>
      <c r="M45" t="s">
        <v>327</v>
      </c>
    </row>
    <row r="46" spans="1:13" x14ac:dyDescent="0.2">
      <c r="A46" t="s">
        <v>247</v>
      </c>
      <c r="B46" t="s">
        <v>266</v>
      </c>
      <c r="C46" t="s">
        <v>15</v>
      </c>
      <c r="D46" t="s">
        <v>16</v>
      </c>
      <c r="E46">
        <v>34.181100000000001</v>
      </c>
      <c r="F46">
        <v>0.692778</v>
      </c>
      <c r="G46">
        <v>2013</v>
      </c>
      <c r="H46">
        <v>2013</v>
      </c>
      <c r="I46" t="s">
        <v>76</v>
      </c>
      <c r="J46">
        <v>170</v>
      </c>
      <c r="K46">
        <v>363</v>
      </c>
      <c r="L46">
        <v>28039354</v>
      </c>
      <c r="M46" t="s">
        <v>327</v>
      </c>
    </row>
    <row r="47" spans="1:13" x14ac:dyDescent="0.2">
      <c r="A47" t="s">
        <v>247</v>
      </c>
      <c r="B47" t="s">
        <v>266</v>
      </c>
      <c r="C47" t="s">
        <v>15</v>
      </c>
      <c r="D47" t="s">
        <v>16</v>
      </c>
      <c r="E47">
        <v>34.181100000000001</v>
      </c>
      <c r="F47">
        <v>0.692778</v>
      </c>
      <c r="G47">
        <v>2013</v>
      </c>
      <c r="H47">
        <v>2013</v>
      </c>
      <c r="I47" t="s">
        <v>71</v>
      </c>
      <c r="J47">
        <v>288</v>
      </c>
      <c r="K47">
        <v>378</v>
      </c>
      <c r="L47">
        <v>28039354</v>
      </c>
      <c r="M47" t="s">
        <v>327</v>
      </c>
    </row>
    <row r="48" spans="1:13" x14ac:dyDescent="0.2">
      <c r="A48" t="s">
        <v>247</v>
      </c>
      <c r="B48" t="s">
        <v>266</v>
      </c>
      <c r="C48" t="s">
        <v>15</v>
      </c>
      <c r="D48" t="s">
        <v>16</v>
      </c>
      <c r="E48">
        <v>34.181100000000001</v>
      </c>
      <c r="F48">
        <v>0.692778</v>
      </c>
      <c r="G48">
        <v>2013</v>
      </c>
      <c r="H48">
        <v>2013</v>
      </c>
      <c r="I48" t="s">
        <v>72</v>
      </c>
      <c r="J48">
        <v>51</v>
      </c>
      <c r="K48">
        <v>378</v>
      </c>
      <c r="L48">
        <v>28039354</v>
      </c>
      <c r="M48" t="s">
        <v>327</v>
      </c>
    </row>
    <row r="49" spans="1:13" x14ac:dyDescent="0.2">
      <c r="A49" t="s">
        <v>247</v>
      </c>
      <c r="B49" t="s">
        <v>266</v>
      </c>
      <c r="C49" t="s">
        <v>15</v>
      </c>
      <c r="D49" t="s">
        <v>16</v>
      </c>
      <c r="E49">
        <v>34.181100000000001</v>
      </c>
      <c r="F49">
        <v>0.692778</v>
      </c>
      <c r="G49">
        <v>2013</v>
      </c>
      <c r="H49">
        <v>2013</v>
      </c>
      <c r="I49" t="s">
        <v>73</v>
      </c>
      <c r="J49">
        <v>39</v>
      </c>
      <c r="K49">
        <v>378</v>
      </c>
      <c r="L49">
        <v>28039354</v>
      </c>
      <c r="M49" t="s">
        <v>327</v>
      </c>
    </row>
    <row r="50" spans="1:13" x14ac:dyDescent="0.2">
      <c r="A50" t="s">
        <v>247</v>
      </c>
      <c r="B50" t="s">
        <v>267</v>
      </c>
      <c r="C50" t="s">
        <v>15</v>
      </c>
      <c r="D50" t="s">
        <v>16</v>
      </c>
      <c r="E50">
        <v>34.181100000000001</v>
      </c>
      <c r="F50">
        <v>0.692778</v>
      </c>
      <c r="G50">
        <v>2015</v>
      </c>
      <c r="H50">
        <v>2015</v>
      </c>
      <c r="I50" t="s">
        <v>74</v>
      </c>
      <c r="J50">
        <v>2</v>
      </c>
      <c r="K50">
        <v>282</v>
      </c>
      <c r="L50">
        <v>28039354</v>
      </c>
      <c r="M50" t="s">
        <v>327</v>
      </c>
    </row>
    <row r="51" spans="1:13" x14ac:dyDescent="0.2">
      <c r="A51" t="s">
        <v>247</v>
      </c>
      <c r="B51" t="s">
        <v>267</v>
      </c>
      <c r="C51" t="s">
        <v>15</v>
      </c>
      <c r="D51" t="s">
        <v>16</v>
      </c>
      <c r="E51">
        <v>34.181100000000001</v>
      </c>
      <c r="F51">
        <v>0.692778</v>
      </c>
      <c r="G51">
        <v>2015</v>
      </c>
      <c r="H51">
        <v>2015</v>
      </c>
      <c r="I51" t="s">
        <v>75</v>
      </c>
      <c r="J51">
        <v>51</v>
      </c>
      <c r="K51">
        <v>282</v>
      </c>
      <c r="L51">
        <v>28039354</v>
      </c>
      <c r="M51" t="s">
        <v>327</v>
      </c>
    </row>
    <row r="52" spans="1:13" x14ac:dyDescent="0.2">
      <c r="A52" t="s">
        <v>247</v>
      </c>
      <c r="B52" t="s">
        <v>267</v>
      </c>
      <c r="C52" t="s">
        <v>15</v>
      </c>
      <c r="D52" t="s">
        <v>16</v>
      </c>
      <c r="E52">
        <v>34.181100000000001</v>
      </c>
      <c r="F52">
        <v>0.692778</v>
      </c>
      <c r="G52">
        <v>2015</v>
      </c>
      <c r="H52">
        <v>2015</v>
      </c>
      <c r="I52" t="s">
        <v>76</v>
      </c>
      <c r="J52">
        <v>229</v>
      </c>
      <c r="K52">
        <v>282</v>
      </c>
      <c r="L52">
        <v>28039354</v>
      </c>
      <c r="M52" t="s">
        <v>327</v>
      </c>
    </row>
    <row r="53" spans="1:13" x14ac:dyDescent="0.2">
      <c r="A53" t="s">
        <v>247</v>
      </c>
      <c r="B53" t="s">
        <v>267</v>
      </c>
      <c r="C53" t="s">
        <v>15</v>
      </c>
      <c r="D53" t="s">
        <v>16</v>
      </c>
      <c r="E53">
        <v>34.181100000000001</v>
      </c>
      <c r="F53">
        <v>0.692778</v>
      </c>
      <c r="G53">
        <v>2015</v>
      </c>
      <c r="H53">
        <v>2015</v>
      </c>
      <c r="I53" t="s">
        <v>71</v>
      </c>
      <c r="J53">
        <v>146</v>
      </c>
      <c r="K53">
        <v>285</v>
      </c>
      <c r="L53">
        <v>28039354</v>
      </c>
      <c r="M53" t="s">
        <v>327</v>
      </c>
    </row>
    <row r="54" spans="1:13" x14ac:dyDescent="0.2">
      <c r="A54" t="s">
        <v>247</v>
      </c>
      <c r="B54" t="s">
        <v>267</v>
      </c>
      <c r="C54" t="s">
        <v>15</v>
      </c>
      <c r="D54" t="s">
        <v>16</v>
      </c>
      <c r="E54">
        <v>34.181100000000001</v>
      </c>
      <c r="F54">
        <v>0.692778</v>
      </c>
      <c r="G54">
        <v>2015</v>
      </c>
      <c r="H54">
        <v>2015</v>
      </c>
      <c r="I54" t="s">
        <v>72</v>
      </c>
      <c r="J54">
        <v>54</v>
      </c>
      <c r="K54">
        <v>285</v>
      </c>
      <c r="L54">
        <v>28039354</v>
      </c>
      <c r="M54" t="s">
        <v>327</v>
      </c>
    </row>
    <row r="55" spans="1:13" x14ac:dyDescent="0.2">
      <c r="A55" t="s">
        <v>247</v>
      </c>
      <c r="B55" t="s">
        <v>267</v>
      </c>
      <c r="C55" t="s">
        <v>15</v>
      </c>
      <c r="D55" t="s">
        <v>16</v>
      </c>
      <c r="E55">
        <v>34.181100000000001</v>
      </c>
      <c r="F55">
        <v>0.692778</v>
      </c>
      <c r="G55">
        <v>2015</v>
      </c>
      <c r="H55">
        <v>2015</v>
      </c>
      <c r="I55" t="s">
        <v>73</v>
      </c>
      <c r="J55">
        <v>85</v>
      </c>
      <c r="K55">
        <v>285</v>
      </c>
      <c r="L55">
        <v>28039354</v>
      </c>
      <c r="M55" t="s">
        <v>327</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FF4F-420E-3445-BE58-5E8F85FE6A7D}">
  <dimension ref="A1:M5"/>
  <sheetViews>
    <sheetView workbookViewId="0">
      <selection activeCell="Q26" sqref="Q26"/>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82</v>
      </c>
      <c r="B2" t="s">
        <v>83</v>
      </c>
      <c r="C2" t="s">
        <v>7</v>
      </c>
      <c r="D2" t="s">
        <v>81</v>
      </c>
      <c r="E2">
        <v>-4.2917699999999996</v>
      </c>
      <c r="F2">
        <v>11.178100000000001</v>
      </c>
      <c r="G2">
        <v>2012</v>
      </c>
      <c r="H2">
        <v>2012</v>
      </c>
      <c r="I2" t="s">
        <v>73</v>
      </c>
      <c r="J2">
        <v>178</v>
      </c>
      <c r="K2">
        <v>236</v>
      </c>
      <c r="L2">
        <v>28004634</v>
      </c>
      <c r="M2" t="s">
        <v>328</v>
      </c>
    </row>
    <row r="3" spans="1:13" x14ac:dyDescent="0.2">
      <c r="A3" t="s">
        <v>82</v>
      </c>
      <c r="B3" t="s">
        <v>83</v>
      </c>
      <c r="C3" t="s">
        <v>7</v>
      </c>
      <c r="D3" t="s">
        <v>81</v>
      </c>
      <c r="E3">
        <v>-4.2917699999999996</v>
      </c>
      <c r="F3">
        <v>11.178100000000001</v>
      </c>
      <c r="G3">
        <v>2012</v>
      </c>
      <c r="H3">
        <v>2012</v>
      </c>
      <c r="I3" t="s">
        <v>71</v>
      </c>
      <c r="J3">
        <v>58</v>
      </c>
      <c r="K3">
        <v>236</v>
      </c>
      <c r="L3">
        <v>28004634</v>
      </c>
    </row>
    <row r="4" spans="1:13" x14ac:dyDescent="0.2">
      <c r="A4" t="s">
        <v>82</v>
      </c>
      <c r="B4" t="s">
        <v>83</v>
      </c>
      <c r="C4" t="s">
        <v>7</v>
      </c>
      <c r="D4" t="s">
        <v>81</v>
      </c>
      <c r="E4">
        <v>-4.2917699999999996</v>
      </c>
      <c r="F4">
        <v>11.178100000000001</v>
      </c>
      <c r="G4">
        <v>2012</v>
      </c>
      <c r="H4">
        <v>2012</v>
      </c>
      <c r="I4" t="s">
        <v>76</v>
      </c>
      <c r="J4">
        <v>192</v>
      </c>
      <c r="K4">
        <v>238</v>
      </c>
      <c r="L4">
        <v>28004634</v>
      </c>
    </row>
    <row r="5" spans="1:13" x14ac:dyDescent="0.2">
      <c r="A5" t="s">
        <v>82</v>
      </c>
      <c r="B5" t="s">
        <v>83</v>
      </c>
      <c r="C5" t="s">
        <v>7</v>
      </c>
      <c r="D5" t="s">
        <v>81</v>
      </c>
      <c r="E5">
        <v>-4.2917699999999996</v>
      </c>
      <c r="F5">
        <v>11.178100000000001</v>
      </c>
      <c r="G5">
        <v>2012</v>
      </c>
      <c r="H5">
        <v>2012</v>
      </c>
      <c r="I5" t="s">
        <v>74</v>
      </c>
      <c r="J5">
        <v>46</v>
      </c>
      <c r="K5">
        <v>238</v>
      </c>
      <c r="L5">
        <v>28004634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75CA2-548A-064C-899B-7FD8ED57D0CF}">
  <dimension ref="A1:M7"/>
  <sheetViews>
    <sheetView workbookViewId="0">
      <selection activeCell="M7" sqref="M7"/>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215</v>
      </c>
      <c r="B2" t="s">
        <v>216</v>
      </c>
      <c r="C2" t="s">
        <v>14</v>
      </c>
      <c r="D2" t="s">
        <v>217</v>
      </c>
      <c r="E2">
        <v>38.906700000000001</v>
      </c>
      <c r="F2">
        <v>-6.4372499999999997</v>
      </c>
      <c r="G2">
        <v>2014</v>
      </c>
      <c r="H2">
        <v>2014</v>
      </c>
      <c r="I2" t="s">
        <v>76</v>
      </c>
      <c r="J2">
        <v>91</v>
      </c>
      <c r="K2">
        <v>106</v>
      </c>
      <c r="L2">
        <v>27565897</v>
      </c>
      <c r="M2" t="s">
        <v>329</v>
      </c>
    </row>
    <row r="3" spans="1:13" x14ac:dyDescent="0.2">
      <c r="A3" t="s">
        <v>215</v>
      </c>
      <c r="B3" t="s">
        <v>216</v>
      </c>
      <c r="C3" t="s">
        <v>14</v>
      </c>
      <c r="D3" t="s">
        <v>217</v>
      </c>
      <c r="E3">
        <v>38.906700000000001</v>
      </c>
      <c r="F3">
        <v>-6.4372499999999997</v>
      </c>
      <c r="G3">
        <v>2014</v>
      </c>
      <c r="H3">
        <v>2014</v>
      </c>
      <c r="I3" t="s">
        <v>74</v>
      </c>
      <c r="J3">
        <v>11</v>
      </c>
      <c r="K3">
        <v>106</v>
      </c>
      <c r="L3">
        <v>27565897</v>
      </c>
      <c r="M3" t="s">
        <v>329</v>
      </c>
    </row>
    <row r="4" spans="1:13" x14ac:dyDescent="0.2">
      <c r="A4" t="s">
        <v>215</v>
      </c>
      <c r="B4" t="s">
        <v>216</v>
      </c>
      <c r="C4" t="s">
        <v>14</v>
      </c>
      <c r="D4" t="s">
        <v>217</v>
      </c>
      <c r="E4">
        <v>38.906700000000001</v>
      </c>
      <c r="F4">
        <v>-6.4372499999999997</v>
      </c>
      <c r="G4">
        <v>2014</v>
      </c>
      <c r="H4">
        <v>2014</v>
      </c>
      <c r="I4" t="s">
        <v>75</v>
      </c>
      <c r="J4">
        <v>4</v>
      </c>
      <c r="K4">
        <v>106</v>
      </c>
      <c r="L4">
        <v>27565897</v>
      </c>
      <c r="M4" t="s">
        <v>329</v>
      </c>
    </row>
    <row r="5" spans="1:13" x14ac:dyDescent="0.2">
      <c r="A5" t="s">
        <v>215</v>
      </c>
      <c r="B5" t="s">
        <v>216</v>
      </c>
      <c r="C5" t="s">
        <v>14</v>
      </c>
      <c r="D5" t="s">
        <v>217</v>
      </c>
      <c r="E5">
        <v>38.906700000000001</v>
      </c>
      <c r="F5">
        <v>-6.4372499999999997</v>
      </c>
      <c r="G5">
        <v>2014</v>
      </c>
      <c r="H5">
        <v>2014</v>
      </c>
      <c r="I5" t="s">
        <v>71</v>
      </c>
      <c r="J5">
        <v>1</v>
      </c>
      <c r="K5">
        <v>102</v>
      </c>
      <c r="L5">
        <v>27565897</v>
      </c>
      <c r="M5" t="s">
        <v>329</v>
      </c>
    </row>
    <row r="6" spans="1:13" x14ac:dyDescent="0.2">
      <c r="A6" t="s">
        <v>215</v>
      </c>
      <c r="B6" t="s">
        <v>216</v>
      </c>
      <c r="C6" t="s">
        <v>14</v>
      </c>
      <c r="D6" t="s">
        <v>217</v>
      </c>
      <c r="E6">
        <v>38.906700000000001</v>
      </c>
      <c r="F6">
        <v>-6.4372499999999997</v>
      </c>
      <c r="G6">
        <v>2014</v>
      </c>
      <c r="H6">
        <v>2014</v>
      </c>
      <c r="I6" t="s">
        <v>72</v>
      </c>
      <c r="J6">
        <v>4</v>
      </c>
      <c r="K6">
        <v>102</v>
      </c>
      <c r="L6">
        <v>27565897</v>
      </c>
      <c r="M6" t="s">
        <v>329</v>
      </c>
    </row>
    <row r="7" spans="1:13" x14ac:dyDescent="0.2">
      <c r="A7" t="s">
        <v>215</v>
      </c>
      <c r="B7" t="s">
        <v>216</v>
      </c>
      <c r="C7" t="s">
        <v>14</v>
      </c>
      <c r="D7" t="s">
        <v>217</v>
      </c>
      <c r="E7">
        <v>38.906700000000001</v>
      </c>
      <c r="F7">
        <v>-6.4372499999999997</v>
      </c>
      <c r="G7">
        <v>2014</v>
      </c>
      <c r="H7">
        <v>2014</v>
      </c>
      <c r="I7" t="s">
        <v>73</v>
      </c>
      <c r="J7">
        <v>97</v>
      </c>
      <c r="K7">
        <v>102</v>
      </c>
      <c r="L7">
        <v>27565897</v>
      </c>
      <c r="M7" t="s">
        <v>329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7EB29-32BF-DF4F-BAE8-77E6818A4EC1}">
  <dimension ref="A1:M79"/>
  <sheetViews>
    <sheetView workbookViewId="0">
      <selection activeCell="R25" sqref="R25"/>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77</v>
      </c>
      <c r="B2" t="s">
        <v>78</v>
      </c>
      <c r="C2" t="s">
        <v>17</v>
      </c>
      <c r="D2" t="s">
        <v>18</v>
      </c>
      <c r="E2">
        <v>13.234400000000001</v>
      </c>
      <c r="F2">
        <v>-8.8383299999999991</v>
      </c>
      <c r="G2">
        <v>2012</v>
      </c>
      <c r="H2">
        <v>2015</v>
      </c>
      <c r="I2" t="s">
        <v>73</v>
      </c>
      <c r="J2">
        <v>69</v>
      </c>
      <c r="K2">
        <v>101</v>
      </c>
      <c r="L2">
        <v>27160572</v>
      </c>
    </row>
    <row r="3" spans="1:13" x14ac:dyDescent="0.2">
      <c r="A3" t="s">
        <v>77</v>
      </c>
      <c r="B3" t="s">
        <v>78</v>
      </c>
      <c r="C3" t="s">
        <v>17</v>
      </c>
      <c r="D3" t="s">
        <v>18</v>
      </c>
      <c r="E3">
        <v>13.234400000000001</v>
      </c>
      <c r="F3">
        <v>-8.8383299999999991</v>
      </c>
      <c r="G3">
        <v>2012</v>
      </c>
      <c r="H3">
        <v>2015</v>
      </c>
      <c r="I3" t="s">
        <v>71</v>
      </c>
      <c r="J3">
        <v>26</v>
      </c>
      <c r="K3">
        <v>101</v>
      </c>
      <c r="L3">
        <v>27160572</v>
      </c>
    </row>
    <row r="4" spans="1:13" x14ac:dyDescent="0.2">
      <c r="A4" t="s">
        <v>77</v>
      </c>
      <c r="B4" t="s">
        <v>78</v>
      </c>
      <c r="C4" t="s">
        <v>17</v>
      </c>
      <c r="D4" t="s">
        <v>18</v>
      </c>
      <c r="E4">
        <v>13.234400000000001</v>
      </c>
      <c r="F4">
        <v>-8.8383299999999991</v>
      </c>
      <c r="G4">
        <v>2012</v>
      </c>
      <c r="H4">
        <v>2015</v>
      </c>
      <c r="I4" t="s">
        <v>72</v>
      </c>
      <c r="J4">
        <v>6</v>
      </c>
      <c r="K4">
        <v>101</v>
      </c>
      <c r="L4">
        <v>27160572</v>
      </c>
      <c r="M4" t="s">
        <v>331</v>
      </c>
    </row>
    <row r="5" spans="1:13" x14ac:dyDescent="0.2">
      <c r="A5" t="s">
        <v>77</v>
      </c>
      <c r="B5" t="s">
        <v>91</v>
      </c>
      <c r="C5" t="s">
        <v>21</v>
      </c>
      <c r="D5" t="s">
        <v>22</v>
      </c>
      <c r="E5">
        <v>11.5167</v>
      </c>
      <c r="F5">
        <v>3.8666700000000001</v>
      </c>
      <c r="G5">
        <v>2012</v>
      </c>
      <c r="H5">
        <v>2015</v>
      </c>
      <c r="I5" t="s">
        <v>73</v>
      </c>
      <c r="J5">
        <v>14</v>
      </c>
      <c r="K5">
        <v>23</v>
      </c>
      <c r="L5">
        <v>27160572</v>
      </c>
    </row>
    <row r="6" spans="1:13" x14ac:dyDescent="0.2">
      <c r="A6" t="s">
        <v>77</v>
      </c>
      <c r="B6" t="s">
        <v>91</v>
      </c>
      <c r="C6" t="s">
        <v>21</v>
      </c>
      <c r="D6" t="s">
        <v>22</v>
      </c>
      <c r="E6">
        <v>11.5167</v>
      </c>
      <c r="F6">
        <v>3.8666700000000001</v>
      </c>
      <c r="G6">
        <v>2012</v>
      </c>
      <c r="H6">
        <v>2015</v>
      </c>
      <c r="I6" t="s">
        <v>71</v>
      </c>
      <c r="J6">
        <v>6</v>
      </c>
      <c r="K6">
        <v>23</v>
      </c>
      <c r="L6">
        <v>27160572</v>
      </c>
    </row>
    <row r="7" spans="1:13" x14ac:dyDescent="0.2">
      <c r="A7" t="s">
        <v>77</v>
      </c>
      <c r="B7" t="s">
        <v>91</v>
      </c>
      <c r="C7" t="s">
        <v>21</v>
      </c>
      <c r="D7" t="s">
        <v>22</v>
      </c>
      <c r="E7">
        <v>11.5167</v>
      </c>
      <c r="F7">
        <v>3.8666700000000001</v>
      </c>
      <c r="G7">
        <v>2012</v>
      </c>
      <c r="H7">
        <v>2015</v>
      </c>
      <c r="I7" t="s">
        <v>72</v>
      </c>
      <c r="J7">
        <v>3</v>
      </c>
      <c r="K7">
        <v>23</v>
      </c>
      <c r="L7">
        <v>27160572</v>
      </c>
      <c r="M7" t="s">
        <v>331</v>
      </c>
    </row>
    <row r="8" spans="1:13" x14ac:dyDescent="0.2">
      <c r="A8" t="s">
        <v>77</v>
      </c>
      <c r="B8" t="s">
        <v>92</v>
      </c>
      <c r="C8" t="s">
        <v>23</v>
      </c>
      <c r="D8" t="s">
        <v>24</v>
      </c>
      <c r="E8">
        <v>18.583300000000001</v>
      </c>
      <c r="F8">
        <v>4.3666700000000001</v>
      </c>
      <c r="G8">
        <v>2012</v>
      </c>
      <c r="H8">
        <v>2015</v>
      </c>
      <c r="I8" t="s">
        <v>73</v>
      </c>
      <c r="J8">
        <v>1</v>
      </c>
      <c r="K8">
        <v>1</v>
      </c>
      <c r="L8">
        <v>27160572</v>
      </c>
    </row>
    <row r="9" spans="1:13" x14ac:dyDescent="0.2">
      <c r="A9" t="s">
        <v>77</v>
      </c>
      <c r="B9" t="s">
        <v>92</v>
      </c>
      <c r="C9" t="s">
        <v>23</v>
      </c>
      <c r="D9" t="s">
        <v>24</v>
      </c>
      <c r="E9">
        <v>18.583300000000001</v>
      </c>
      <c r="F9">
        <v>4.3666700000000001</v>
      </c>
      <c r="G9">
        <v>2012</v>
      </c>
      <c r="H9">
        <v>2015</v>
      </c>
      <c r="I9" t="s">
        <v>71</v>
      </c>
      <c r="J9">
        <v>0</v>
      </c>
      <c r="K9">
        <v>1</v>
      </c>
      <c r="L9">
        <v>27160572</v>
      </c>
    </row>
    <row r="10" spans="1:13" x14ac:dyDescent="0.2">
      <c r="A10" t="s">
        <v>77</v>
      </c>
      <c r="B10" t="s">
        <v>92</v>
      </c>
      <c r="C10" t="s">
        <v>23</v>
      </c>
      <c r="D10" t="s">
        <v>24</v>
      </c>
      <c r="E10">
        <v>18.583300000000001</v>
      </c>
      <c r="F10">
        <v>4.3666700000000001</v>
      </c>
      <c r="G10">
        <v>2012</v>
      </c>
      <c r="H10">
        <v>2015</v>
      </c>
      <c r="I10" t="s">
        <v>72</v>
      </c>
      <c r="J10">
        <v>0</v>
      </c>
      <c r="K10">
        <v>1</v>
      </c>
      <c r="L10">
        <v>27160572</v>
      </c>
    </row>
    <row r="11" spans="1:13" x14ac:dyDescent="0.2">
      <c r="A11" t="s">
        <v>77</v>
      </c>
      <c r="B11" t="s">
        <v>100</v>
      </c>
      <c r="C11" t="s">
        <v>8</v>
      </c>
      <c r="D11" t="s">
        <v>9</v>
      </c>
      <c r="E11">
        <v>15.3139</v>
      </c>
      <c r="F11">
        <v>-4.3316699999999999</v>
      </c>
      <c r="G11">
        <v>2012</v>
      </c>
      <c r="H11">
        <v>2015</v>
      </c>
      <c r="I11" t="s">
        <v>73</v>
      </c>
      <c r="J11">
        <v>11</v>
      </c>
      <c r="K11">
        <v>23</v>
      </c>
      <c r="L11">
        <v>27160572</v>
      </c>
    </row>
    <row r="12" spans="1:13" x14ac:dyDescent="0.2">
      <c r="A12" t="s">
        <v>77</v>
      </c>
      <c r="B12" t="s">
        <v>100</v>
      </c>
      <c r="C12" t="s">
        <v>8</v>
      </c>
      <c r="D12" t="s">
        <v>9</v>
      </c>
      <c r="E12">
        <v>15.3139</v>
      </c>
      <c r="F12">
        <v>-4.3316699999999999</v>
      </c>
      <c r="G12">
        <v>2012</v>
      </c>
      <c r="H12">
        <v>2015</v>
      </c>
      <c r="I12" t="s">
        <v>71</v>
      </c>
      <c r="J12">
        <v>12</v>
      </c>
      <c r="K12">
        <v>23</v>
      </c>
      <c r="L12">
        <v>27160572</v>
      </c>
    </row>
    <row r="13" spans="1:13" x14ac:dyDescent="0.2">
      <c r="A13" t="s">
        <v>77</v>
      </c>
      <c r="B13" t="s">
        <v>100</v>
      </c>
      <c r="C13" t="s">
        <v>8</v>
      </c>
      <c r="D13" t="s">
        <v>9</v>
      </c>
      <c r="E13">
        <v>15.3139</v>
      </c>
      <c r="F13">
        <v>-4.3316699999999999</v>
      </c>
      <c r="G13">
        <v>2012</v>
      </c>
      <c r="H13">
        <v>2015</v>
      </c>
      <c r="I13" t="s">
        <v>72</v>
      </c>
      <c r="J13">
        <v>0</v>
      </c>
      <c r="K13">
        <v>23</v>
      </c>
      <c r="L13">
        <v>27160572</v>
      </c>
    </row>
    <row r="14" spans="1:13" x14ac:dyDescent="0.2">
      <c r="A14" t="s">
        <v>77</v>
      </c>
      <c r="B14" t="s">
        <v>125</v>
      </c>
      <c r="C14" t="s">
        <v>10</v>
      </c>
      <c r="D14" t="s">
        <v>33</v>
      </c>
      <c r="E14">
        <v>-0.2</v>
      </c>
      <c r="F14">
        <v>5.55</v>
      </c>
      <c r="G14">
        <v>2012</v>
      </c>
      <c r="H14">
        <v>2015</v>
      </c>
      <c r="I14" t="s">
        <v>73</v>
      </c>
      <c r="J14">
        <v>19</v>
      </c>
      <c r="K14">
        <v>23</v>
      </c>
      <c r="L14">
        <v>27160572</v>
      </c>
    </row>
    <row r="15" spans="1:13" x14ac:dyDescent="0.2">
      <c r="A15" t="s">
        <v>77</v>
      </c>
      <c r="B15" t="s">
        <v>125</v>
      </c>
      <c r="C15" t="s">
        <v>10</v>
      </c>
      <c r="D15" t="s">
        <v>33</v>
      </c>
      <c r="E15">
        <v>-0.2</v>
      </c>
      <c r="F15">
        <v>5.55</v>
      </c>
      <c r="G15">
        <v>2012</v>
      </c>
      <c r="H15">
        <v>2015</v>
      </c>
      <c r="I15" t="s">
        <v>71</v>
      </c>
      <c r="J15">
        <v>3</v>
      </c>
      <c r="K15">
        <v>23</v>
      </c>
      <c r="L15">
        <v>27160572</v>
      </c>
    </row>
    <row r="16" spans="1:13" x14ac:dyDescent="0.2">
      <c r="A16" t="s">
        <v>77</v>
      </c>
      <c r="B16" t="s">
        <v>125</v>
      </c>
      <c r="C16" t="s">
        <v>10</v>
      </c>
      <c r="D16" t="s">
        <v>33</v>
      </c>
      <c r="E16">
        <v>-0.2</v>
      </c>
      <c r="F16">
        <v>5.55</v>
      </c>
      <c r="G16">
        <v>2012</v>
      </c>
      <c r="H16">
        <v>2015</v>
      </c>
      <c r="I16" t="s">
        <v>72</v>
      </c>
      <c r="J16">
        <v>1</v>
      </c>
      <c r="K16">
        <v>23</v>
      </c>
      <c r="L16">
        <v>27160572</v>
      </c>
      <c r="M16" t="s">
        <v>331</v>
      </c>
    </row>
    <row r="17" spans="1:13" x14ac:dyDescent="0.2">
      <c r="A17" t="s">
        <v>77</v>
      </c>
      <c r="B17" t="s">
        <v>204</v>
      </c>
      <c r="C17" t="s">
        <v>42</v>
      </c>
      <c r="D17" t="s">
        <v>43</v>
      </c>
      <c r="E17">
        <v>32.583300000000001</v>
      </c>
      <c r="F17">
        <v>-25.966699999999999</v>
      </c>
      <c r="G17">
        <v>2012</v>
      </c>
      <c r="H17">
        <v>2015</v>
      </c>
      <c r="I17" t="s">
        <v>73</v>
      </c>
      <c r="J17">
        <v>9</v>
      </c>
      <c r="K17">
        <v>10</v>
      </c>
      <c r="L17">
        <v>27160572</v>
      </c>
    </row>
    <row r="18" spans="1:13" x14ac:dyDescent="0.2">
      <c r="A18" t="s">
        <v>77</v>
      </c>
      <c r="B18" t="s">
        <v>204</v>
      </c>
      <c r="C18" t="s">
        <v>42</v>
      </c>
      <c r="D18" t="s">
        <v>43</v>
      </c>
      <c r="E18">
        <v>32.583300000000001</v>
      </c>
      <c r="F18">
        <v>-25.966699999999999</v>
      </c>
      <c r="G18">
        <v>2012</v>
      </c>
      <c r="H18">
        <v>2015</v>
      </c>
      <c r="I18" t="s">
        <v>71</v>
      </c>
      <c r="J18">
        <v>1</v>
      </c>
      <c r="K18">
        <v>10</v>
      </c>
      <c r="L18">
        <v>27160572</v>
      </c>
    </row>
    <row r="19" spans="1:13" x14ac:dyDescent="0.2">
      <c r="A19" t="s">
        <v>77</v>
      </c>
      <c r="B19" t="s">
        <v>204</v>
      </c>
      <c r="C19" t="s">
        <v>42</v>
      </c>
      <c r="D19" t="s">
        <v>43</v>
      </c>
      <c r="E19">
        <v>32.583300000000001</v>
      </c>
      <c r="F19">
        <v>-25.966699999999999</v>
      </c>
      <c r="G19">
        <v>2012</v>
      </c>
      <c r="H19">
        <v>2015</v>
      </c>
      <c r="I19" t="s">
        <v>72</v>
      </c>
      <c r="J19">
        <v>0</v>
      </c>
      <c r="K19">
        <v>10</v>
      </c>
      <c r="L19">
        <v>27160572</v>
      </c>
    </row>
    <row r="20" spans="1:13" x14ac:dyDescent="0.2">
      <c r="A20" t="s">
        <v>77</v>
      </c>
      <c r="B20" t="s">
        <v>255</v>
      </c>
      <c r="C20" t="s">
        <v>15</v>
      </c>
      <c r="D20" t="s">
        <v>52</v>
      </c>
      <c r="E20">
        <v>32.581099999999999</v>
      </c>
      <c r="F20">
        <v>0.31361099999999997</v>
      </c>
      <c r="G20">
        <v>2012</v>
      </c>
      <c r="H20">
        <v>2015</v>
      </c>
      <c r="I20" t="s">
        <v>73</v>
      </c>
      <c r="J20">
        <v>3</v>
      </c>
      <c r="K20">
        <v>6</v>
      </c>
      <c r="L20">
        <v>27160572</v>
      </c>
    </row>
    <row r="21" spans="1:13" x14ac:dyDescent="0.2">
      <c r="A21" t="s">
        <v>77</v>
      </c>
      <c r="B21" t="s">
        <v>255</v>
      </c>
      <c r="C21" t="s">
        <v>15</v>
      </c>
      <c r="D21" t="s">
        <v>52</v>
      </c>
      <c r="E21">
        <v>32.581099999999999</v>
      </c>
      <c r="F21">
        <v>0.31361099999999997</v>
      </c>
      <c r="G21">
        <v>2012</v>
      </c>
      <c r="H21">
        <v>2015</v>
      </c>
      <c r="I21" t="s">
        <v>71</v>
      </c>
      <c r="J21">
        <v>3</v>
      </c>
      <c r="K21">
        <v>6</v>
      </c>
      <c r="L21">
        <v>27160572</v>
      </c>
    </row>
    <row r="22" spans="1:13" x14ac:dyDescent="0.2">
      <c r="A22" t="s">
        <v>77</v>
      </c>
      <c r="B22" t="s">
        <v>255</v>
      </c>
      <c r="C22" t="s">
        <v>15</v>
      </c>
      <c r="D22" t="s">
        <v>52</v>
      </c>
      <c r="E22">
        <v>32.581099999999999</v>
      </c>
      <c r="F22">
        <v>0.31361099999999997</v>
      </c>
      <c r="G22">
        <v>2012</v>
      </c>
      <c r="H22">
        <v>2015</v>
      </c>
      <c r="I22" t="s">
        <v>72</v>
      </c>
      <c r="J22">
        <v>0</v>
      </c>
      <c r="K22">
        <v>6</v>
      </c>
      <c r="L22">
        <v>27160572</v>
      </c>
    </row>
    <row r="23" spans="1:13" x14ac:dyDescent="0.2">
      <c r="A23" t="s">
        <v>77</v>
      </c>
      <c r="B23" t="s">
        <v>268</v>
      </c>
      <c r="C23" t="s">
        <v>19</v>
      </c>
      <c r="D23" t="s">
        <v>20</v>
      </c>
      <c r="E23">
        <v>2.6288499999999999</v>
      </c>
      <c r="F23">
        <v>6.4968599999999999</v>
      </c>
      <c r="G23">
        <v>2012</v>
      </c>
      <c r="H23">
        <v>2015</v>
      </c>
      <c r="I23" t="s">
        <v>73</v>
      </c>
      <c r="J23">
        <v>1</v>
      </c>
      <c r="K23">
        <v>5</v>
      </c>
      <c r="L23">
        <v>27160572</v>
      </c>
    </row>
    <row r="24" spans="1:13" x14ac:dyDescent="0.2">
      <c r="A24" t="s">
        <v>77</v>
      </c>
      <c r="B24" t="s">
        <v>268</v>
      </c>
      <c r="C24" t="s">
        <v>19</v>
      </c>
      <c r="D24" t="s">
        <v>20</v>
      </c>
      <c r="E24">
        <v>2.6288499999999999</v>
      </c>
      <c r="F24">
        <v>6.4968599999999999</v>
      </c>
      <c r="G24">
        <v>2012</v>
      </c>
      <c r="H24">
        <v>2015</v>
      </c>
      <c r="I24" t="s">
        <v>71</v>
      </c>
      <c r="J24">
        <v>4</v>
      </c>
      <c r="K24">
        <v>5</v>
      </c>
      <c r="L24">
        <v>27160572</v>
      </c>
    </row>
    <row r="25" spans="1:13" x14ac:dyDescent="0.2">
      <c r="A25" t="s">
        <v>77</v>
      </c>
      <c r="B25" t="s">
        <v>268</v>
      </c>
      <c r="C25" t="s">
        <v>19</v>
      </c>
      <c r="D25" t="s">
        <v>20</v>
      </c>
      <c r="E25">
        <v>2.6288499999999999</v>
      </c>
      <c r="F25">
        <v>6.4968599999999999</v>
      </c>
      <c r="G25">
        <v>2012</v>
      </c>
      <c r="H25">
        <v>2015</v>
      </c>
      <c r="I25" t="s">
        <v>72</v>
      </c>
      <c r="J25">
        <v>0</v>
      </c>
      <c r="K25">
        <v>5</v>
      </c>
      <c r="L25">
        <v>27160572</v>
      </c>
    </row>
    <row r="26" spans="1:13" x14ac:dyDescent="0.2">
      <c r="A26" t="s">
        <v>77</v>
      </c>
      <c r="B26" t="s">
        <v>269</v>
      </c>
      <c r="C26" t="s">
        <v>34</v>
      </c>
      <c r="D26" t="s">
        <v>35</v>
      </c>
      <c r="E26">
        <v>-13.791600000000001</v>
      </c>
      <c r="F26">
        <v>9.6022200000000009</v>
      </c>
      <c r="G26">
        <v>2012</v>
      </c>
      <c r="H26">
        <v>2015</v>
      </c>
      <c r="I26" t="s">
        <v>73</v>
      </c>
      <c r="J26">
        <v>21</v>
      </c>
      <c r="K26">
        <v>33</v>
      </c>
      <c r="L26">
        <v>27160572</v>
      </c>
    </row>
    <row r="27" spans="1:13" x14ac:dyDescent="0.2">
      <c r="A27" t="s">
        <v>77</v>
      </c>
      <c r="B27" t="s">
        <v>269</v>
      </c>
      <c r="C27" t="s">
        <v>34</v>
      </c>
      <c r="D27" t="s">
        <v>35</v>
      </c>
      <c r="E27">
        <v>-13.791600000000001</v>
      </c>
      <c r="F27">
        <v>9.6022200000000009</v>
      </c>
      <c r="G27">
        <v>2012</v>
      </c>
      <c r="H27">
        <v>2015</v>
      </c>
      <c r="I27" t="s">
        <v>71</v>
      </c>
      <c r="J27">
        <v>11</v>
      </c>
      <c r="K27">
        <v>33</v>
      </c>
      <c r="L27">
        <v>27160572</v>
      </c>
    </row>
    <row r="28" spans="1:13" x14ac:dyDescent="0.2">
      <c r="A28" t="s">
        <v>77</v>
      </c>
      <c r="B28" t="s">
        <v>269</v>
      </c>
      <c r="C28" t="s">
        <v>34</v>
      </c>
      <c r="D28" t="s">
        <v>35</v>
      </c>
      <c r="E28">
        <v>-13.791600000000001</v>
      </c>
      <c r="F28">
        <v>9.6022200000000009</v>
      </c>
      <c r="G28">
        <v>2012</v>
      </c>
      <c r="H28">
        <v>2015</v>
      </c>
      <c r="I28" t="s">
        <v>72</v>
      </c>
      <c r="J28">
        <v>1</v>
      </c>
      <c r="K28">
        <v>33</v>
      </c>
      <c r="L28">
        <v>27160572</v>
      </c>
      <c r="M28" t="s">
        <v>331</v>
      </c>
    </row>
    <row r="29" spans="1:13" x14ac:dyDescent="0.2">
      <c r="A29" t="s">
        <v>77</v>
      </c>
      <c r="B29" t="s">
        <v>270</v>
      </c>
      <c r="C29" t="s">
        <v>330</v>
      </c>
      <c r="D29" t="s">
        <v>27</v>
      </c>
      <c r="E29">
        <v>-5.3511800000000003</v>
      </c>
      <c r="F29">
        <v>6.81623</v>
      </c>
      <c r="G29">
        <v>2012</v>
      </c>
      <c r="H29">
        <v>2013</v>
      </c>
      <c r="I29" t="s">
        <v>73</v>
      </c>
      <c r="J29">
        <v>7</v>
      </c>
      <c r="K29">
        <v>10</v>
      </c>
      <c r="L29">
        <v>27160572</v>
      </c>
    </row>
    <row r="30" spans="1:13" x14ac:dyDescent="0.2">
      <c r="A30" t="s">
        <v>77</v>
      </c>
      <c r="B30" t="s">
        <v>270</v>
      </c>
      <c r="C30" t="s">
        <v>330</v>
      </c>
      <c r="D30" t="s">
        <v>27</v>
      </c>
      <c r="E30">
        <v>-5.3511800000000003</v>
      </c>
      <c r="F30">
        <v>6.81623</v>
      </c>
      <c r="G30">
        <v>2012</v>
      </c>
      <c r="H30">
        <v>2013</v>
      </c>
      <c r="I30" t="s">
        <v>71</v>
      </c>
      <c r="J30">
        <v>3</v>
      </c>
      <c r="K30">
        <v>10</v>
      </c>
      <c r="L30">
        <v>27160572</v>
      </c>
    </row>
    <row r="31" spans="1:13" x14ac:dyDescent="0.2">
      <c r="A31" t="s">
        <v>77</v>
      </c>
      <c r="B31" t="s">
        <v>270</v>
      </c>
      <c r="C31" t="s">
        <v>330</v>
      </c>
      <c r="D31" t="s">
        <v>27</v>
      </c>
      <c r="E31">
        <v>-5.3511800000000003</v>
      </c>
      <c r="F31">
        <v>6.81623</v>
      </c>
      <c r="G31">
        <v>2012</v>
      </c>
      <c r="H31">
        <v>2013</v>
      </c>
      <c r="I31" t="s">
        <v>72</v>
      </c>
      <c r="J31">
        <v>0</v>
      </c>
      <c r="K31">
        <v>10</v>
      </c>
      <c r="L31">
        <v>27160572</v>
      </c>
    </row>
    <row r="32" spans="1:13" x14ac:dyDescent="0.2">
      <c r="A32" t="s">
        <v>77</v>
      </c>
      <c r="B32" t="s">
        <v>271</v>
      </c>
      <c r="C32" t="s">
        <v>37</v>
      </c>
      <c r="D32" t="s">
        <v>38</v>
      </c>
      <c r="E32">
        <v>-10.804600000000001</v>
      </c>
      <c r="F32">
        <v>6.29582</v>
      </c>
      <c r="G32">
        <v>2012</v>
      </c>
      <c r="H32">
        <v>2013</v>
      </c>
      <c r="I32" t="s">
        <v>73</v>
      </c>
      <c r="J32">
        <v>1</v>
      </c>
      <c r="K32">
        <v>23</v>
      </c>
      <c r="L32">
        <v>27160572</v>
      </c>
    </row>
    <row r="33" spans="1:13" x14ac:dyDescent="0.2">
      <c r="A33" t="s">
        <v>77</v>
      </c>
      <c r="B33" t="s">
        <v>271</v>
      </c>
      <c r="C33" t="s">
        <v>37</v>
      </c>
      <c r="D33" t="s">
        <v>38</v>
      </c>
      <c r="E33">
        <v>-10.804600000000001</v>
      </c>
      <c r="F33">
        <v>6.29582</v>
      </c>
      <c r="G33">
        <v>2012</v>
      </c>
      <c r="H33">
        <v>2013</v>
      </c>
      <c r="I33" t="s">
        <v>71</v>
      </c>
      <c r="J33">
        <v>22</v>
      </c>
      <c r="K33">
        <v>23</v>
      </c>
      <c r="L33">
        <v>27160572</v>
      </c>
    </row>
    <row r="34" spans="1:13" x14ac:dyDescent="0.2">
      <c r="A34" t="s">
        <v>77</v>
      </c>
      <c r="B34" t="s">
        <v>271</v>
      </c>
      <c r="C34" t="s">
        <v>37</v>
      </c>
      <c r="D34" t="s">
        <v>38</v>
      </c>
      <c r="E34">
        <v>-10.804600000000001</v>
      </c>
      <c r="F34">
        <v>6.29582</v>
      </c>
      <c r="G34">
        <v>2012</v>
      </c>
      <c r="H34">
        <v>2013</v>
      </c>
      <c r="I34" t="s">
        <v>72</v>
      </c>
      <c r="J34">
        <v>0</v>
      </c>
      <c r="K34">
        <v>23</v>
      </c>
      <c r="L34">
        <v>27160572</v>
      </c>
    </row>
    <row r="35" spans="1:13" x14ac:dyDescent="0.2">
      <c r="A35" t="s">
        <v>77</v>
      </c>
      <c r="B35" t="s">
        <v>272</v>
      </c>
      <c r="C35" t="s">
        <v>13</v>
      </c>
      <c r="D35" t="s">
        <v>41</v>
      </c>
      <c r="E35">
        <v>-8.1356000000000002</v>
      </c>
      <c r="F35">
        <v>12.6129</v>
      </c>
      <c r="G35">
        <v>2012</v>
      </c>
      <c r="H35">
        <v>2015</v>
      </c>
      <c r="I35" t="s">
        <v>73</v>
      </c>
      <c r="J35">
        <v>2</v>
      </c>
      <c r="K35">
        <v>4</v>
      </c>
      <c r="L35">
        <v>27160572</v>
      </c>
    </row>
    <row r="36" spans="1:13" x14ac:dyDescent="0.2">
      <c r="A36" t="s">
        <v>77</v>
      </c>
      <c r="B36" t="s">
        <v>272</v>
      </c>
      <c r="C36" t="s">
        <v>13</v>
      </c>
      <c r="D36" t="s">
        <v>41</v>
      </c>
      <c r="E36">
        <v>-8.1356000000000002</v>
      </c>
      <c r="F36">
        <v>12.6129</v>
      </c>
      <c r="G36">
        <v>2012</v>
      </c>
      <c r="H36">
        <v>2015</v>
      </c>
      <c r="I36" t="s">
        <v>71</v>
      </c>
      <c r="J36">
        <v>1</v>
      </c>
      <c r="K36">
        <v>4</v>
      </c>
      <c r="L36">
        <v>27160572</v>
      </c>
    </row>
    <row r="37" spans="1:13" x14ac:dyDescent="0.2">
      <c r="A37" t="s">
        <v>77</v>
      </c>
      <c r="B37" t="s">
        <v>272</v>
      </c>
      <c r="C37" t="s">
        <v>13</v>
      </c>
      <c r="D37" t="s">
        <v>41</v>
      </c>
      <c r="E37">
        <v>-8.1356000000000002</v>
      </c>
      <c r="F37">
        <v>12.6129</v>
      </c>
      <c r="G37">
        <v>2012</v>
      </c>
      <c r="H37">
        <v>2015</v>
      </c>
      <c r="I37" t="s">
        <v>72</v>
      </c>
      <c r="J37">
        <v>1</v>
      </c>
      <c r="K37">
        <v>4</v>
      </c>
      <c r="L37">
        <v>27160572</v>
      </c>
      <c r="M37" t="s">
        <v>331</v>
      </c>
    </row>
    <row r="38" spans="1:13" x14ac:dyDescent="0.2">
      <c r="A38" t="s">
        <v>77</v>
      </c>
      <c r="B38" t="s">
        <v>273</v>
      </c>
      <c r="C38" t="s">
        <v>45</v>
      </c>
      <c r="D38" t="s">
        <v>46</v>
      </c>
      <c r="E38">
        <v>-13.293699999999999</v>
      </c>
      <c r="F38">
        <v>8.4545600000000007</v>
      </c>
      <c r="G38">
        <v>2012</v>
      </c>
      <c r="H38">
        <v>2015</v>
      </c>
      <c r="I38" t="s">
        <v>73</v>
      </c>
      <c r="J38">
        <v>9</v>
      </c>
      <c r="K38">
        <v>25</v>
      </c>
      <c r="L38">
        <v>27160572</v>
      </c>
    </row>
    <row r="39" spans="1:13" x14ac:dyDescent="0.2">
      <c r="A39" t="s">
        <v>77</v>
      </c>
      <c r="B39" t="s">
        <v>273</v>
      </c>
      <c r="C39" t="s">
        <v>45</v>
      </c>
      <c r="D39" t="s">
        <v>46</v>
      </c>
      <c r="E39">
        <v>-13.293699999999999</v>
      </c>
      <c r="F39">
        <v>8.4545600000000007</v>
      </c>
      <c r="G39">
        <v>2012</v>
      </c>
      <c r="H39">
        <v>2015</v>
      </c>
      <c r="I39" t="s">
        <v>71</v>
      </c>
      <c r="J39">
        <v>14</v>
      </c>
      <c r="K39">
        <v>25</v>
      </c>
      <c r="L39">
        <v>27160572</v>
      </c>
    </row>
    <row r="40" spans="1:13" x14ac:dyDescent="0.2">
      <c r="A40" t="s">
        <v>77</v>
      </c>
      <c r="B40" t="s">
        <v>273</v>
      </c>
      <c r="C40" t="s">
        <v>45</v>
      </c>
      <c r="D40" t="s">
        <v>46</v>
      </c>
      <c r="E40">
        <v>-13.293699999999999</v>
      </c>
      <c r="F40">
        <v>8.4545600000000007</v>
      </c>
      <c r="G40">
        <v>2012</v>
      </c>
      <c r="H40">
        <v>2015</v>
      </c>
      <c r="I40" t="s">
        <v>72</v>
      </c>
      <c r="J40">
        <v>2</v>
      </c>
      <c r="K40">
        <v>25</v>
      </c>
      <c r="L40">
        <v>27160572</v>
      </c>
      <c r="M40" t="s">
        <v>331</v>
      </c>
    </row>
    <row r="41" spans="1:13" x14ac:dyDescent="0.2">
      <c r="A41" t="s">
        <v>77</v>
      </c>
      <c r="B41" t="s">
        <v>274</v>
      </c>
      <c r="C41" t="s">
        <v>50</v>
      </c>
      <c r="D41" t="s">
        <v>51</v>
      </c>
      <c r="E41">
        <v>1.17665</v>
      </c>
      <c r="F41">
        <v>6.1824899999999996</v>
      </c>
      <c r="G41">
        <v>2012</v>
      </c>
      <c r="H41">
        <v>2015</v>
      </c>
      <c r="I41" t="s">
        <v>73</v>
      </c>
      <c r="J41">
        <v>4</v>
      </c>
      <c r="K41">
        <v>5</v>
      </c>
      <c r="L41">
        <v>27160572</v>
      </c>
    </row>
    <row r="42" spans="1:13" x14ac:dyDescent="0.2">
      <c r="A42" t="s">
        <v>77</v>
      </c>
      <c r="B42" t="s">
        <v>274</v>
      </c>
      <c r="C42" t="s">
        <v>50</v>
      </c>
      <c r="D42" t="s">
        <v>51</v>
      </c>
      <c r="E42">
        <v>1.17665</v>
      </c>
      <c r="F42">
        <v>6.1824899999999996</v>
      </c>
      <c r="G42">
        <v>2012</v>
      </c>
      <c r="H42">
        <v>2015</v>
      </c>
      <c r="I42" t="s">
        <v>71</v>
      </c>
      <c r="J42">
        <v>1</v>
      </c>
      <c r="K42">
        <v>5</v>
      </c>
      <c r="L42">
        <v>27160572</v>
      </c>
    </row>
    <row r="43" spans="1:13" x14ac:dyDescent="0.2">
      <c r="A43" t="s">
        <v>77</v>
      </c>
      <c r="B43" t="s">
        <v>274</v>
      </c>
      <c r="C43" t="s">
        <v>50</v>
      </c>
      <c r="D43" t="s">
        <v>51</v>
      </c>
      <c r="E43">
        <v>1.17665</v>
      </c>
      <c r="F43">
        <v>6.1824899999999996</v>
      </c>
      <c r="G43">
        <v>2012</v>
      </c>
      <c r="H43">
        <v>2015</v>
      </c>
      <c r="I43" t="s">
        <v>72</v>
      </c>
      <c r="J43">
        <v>0</v>
      </c>
      <c r="K43">
        <v>5</v>
      </c>
      <c r="L43">
        <v>27160572</v>
      </c>
    </row>
    <row r="44" spans="1:13" x14ac:dyDescent="0.2">
      <c r="A44" t="s">
        <v>77</v>
      </c>
      <c r="B44" t="s">
        <v>275</v>
      </c>
      <c r="C44" t="s">
        <v>25</v>
      </c>
      <c r="D44" t="s">
        <v>26</v>
      </c>
      <c r="E44">
        <v>15.0282</v>
      </c>
      <c r="F44">
        <v>12.129200000000001</v>
      </c>
      <c r="G44">
        <v>2012</v>
      </c>
      <c r="H44">
        <v>2015</v>
      </c>
      <c r="I44" t="s">
        <v>73</v>
      </c>
      <c r="J44">
        <v>5</v>
      </c>
      <c r="K44">
        <v>7</v>
      </c>
      <c r="L44">
        <v>27160572</v>
      </c>
    </row>
    <row r="45" spans="1:13" x14ac:dyDescent="0.2">
      <c r="A45" t="s">
        <v>77</v>
      </c>
      <c r="B45" t="s">
        <v>275</v>
      </c>
      <c r="C45" t="s">
        <v>25</v>
      </c>
      <c r="D45" t="s">
        <v>26</v>
      </c>
      <c r="E45">
        <v>15.0282</v>
      </c>
      <c r="F45">
        <v>12.129200000000001</v>
      </c>
      <c r="G45">
        <v>2012</v>
      </c>
      <c r="H45">
        <v>2015</v>
      </c>
      <c r="I45" t="s">
        <v>71</v>
      </c>
      <c r="J45">
        <v>2</v>
      </c>
      <c r="K45">
        <v>7</v>
      </c>
      <c r="L45">
        <v>27160572</v>
      </c>
    </row>
    <row r="46" spans="1:13" x14ac:dyDescent="0.2">
      <c r="A46" t="s">
        <v>77</v>
      </c>
      <c r="B46" t="s">
        <v>275</v>
      </c>
      <c r="C46" t="s">
        <v>25</v>
      </c>
      <c r="D46" t="s">
        <v>26</v>
      </c>
      <c r="E46">
        <v>15.0282</v>
      </c>
      <c r="F46">
        <v>12.129200000000001</v>
      </c>
      <c r="G46">
        <v>2012</v>
      </c>
      <c r="H46">
        <v>2015</v>
      </c>
      <c r="I46" t="s">
        <v>72</v>
      </c>
      <c r="J46">
        <v>0</v>
      </c>
      <c r="K46">
        <v>7</v>
      </c>
      <c r="L46">
        <v>27160572</v>
      </c>
    </row>
    <row r="47" spans="1:13" x14ac:dyDescent="0.2">
      <c r="A47" t="s">
        <v>77</v>
      </c>
      <c r="B47" t="s">
        <v>276</v>
      </c>
      <c r="C47" t="s">
        <v>28</v>
      </c>
      <c r="D47" t="s">
        <v>29</v>
      </c>
      <c r="E47">
        <v>8.7069700000000001</v>
      </c>
      <c r="F47">
        <v>3.75353</v>
      </c>
      <c r="G47">
        <v>2012</v>
      </c>
      <c r="H47">
        <v>2015</v>
      </c>
      <c r="I47" t="s">
        <v>73</v>
      </c>
      <c r="J47">
        <v>58</v>
      </c>
      <c r="K47">
        <v>75</v>
      </c>
      <c r="L47">
        <v>27160572</v>
      </c>
    </row>
    <row r="48" spans="1:13" x14ac:dyDescent="0.2">
      <c r="A48" t="s">
        <v>77</v>
      </c>
      <c r="B48" t="s">
        <v>276</v>
      </c>
      <c r="C48" t="s">
        <v>28</v>
      </c>
      <c r="D48" t="s">
        <v>29</v>
      </c>
      <c r="E48">
        <v>8.7069700000000001</v>
      </c>
      <c r="F48">
        <v>3.75353</v>
      </c>
      <c r="G48">
        <v>2012</v>
      </c>
      <c r="H48">
        <v>2015</v>
      </c>
      <c r="I48" t="s">
        <v>71</v>
      </c>
      <c r="J48">
        <v>11</v>
      </c>
      <c r="K48">
        <v>75</v>
      </c>
      <c r="L48">
        <v>27160572</v>
      </c>
    </row>
    <row r="49" spans="1:13" x14ac:dyDescent="0.2">
      <c r="A49" t="s">
        <v>77</v>
      </c>
      <c r="B49" t="s">
        <v>276</v>
      </c>
      <c r="C49" t="s">
        <v>28</v>
      </c>
      <c r="D49" t="s">
        <v>29</v>
      </c>
      <c r="E49">
        <v>8.7069700000000001</v>
      </c>
      <c r="F49">
        <v>3.75353</v>
      </c>
      <c r="G49">
        <v>2012</v>
      </c>
      <c r="H49">
        <v>2015</v>
      </c>
      <c r="I49" t="s">
        <v>72</v>
      </c>
      <c r="J49">
        <v>6</v>
      </c>
      <c r="K49">
        <v>75</v>
      </c>
      <c r="L49">
        <v>27160572</v>
      </c>
      <c r="M49" t="s">
        <v>331</v>
      </c>
    </row>
    <row r="50" spans="1:13" x14ac:dyDescent="0.2">
      <c r="A50" t="s">
        <v>77</v>
      </c>
      <c r="B50" t="s">
        <v>277</v>
      </c>
      <c r="C50" t="s">
        <v>31</v>
      </c>
      <c r="D50" t="s">
        <v>32</v>
      </c>
      <c r="E50">
        <v>9.2945399999999996</v>
      </c>
      <c r="F50">
        <v>0.41174300000000003</v>
      </c>
      <c r="G50">
        <v>2012</v>
      </c>
      <c r="H50">
        <v>2015</v>
      </c>
      <c r="I50" t="s">
        <v>73</v>
      </c>
      <c r="J50">
        <v>1</v>
      </c>
      <c r="K50">
        <v>6</v>
      </c>
      <c r="L50">
        <v>27160572</v>
      </c>
    </row>
    <row r="51" spans="1:13" x14ac:dyDescent="0.2">
      <c r="A51" t="s">
        <v>77</v>
      </c>
      <c r="B51" t="s">
        <v>277</v>
      </c>
      <c r="C51" t="s">
        <v>31</v>
      </c>
      <c r="D51" t="s">
        <v>32</v>
      </c>
      <c r="E51">
        <v>9.2945399999999996</v>
      </c>
      <c r="F51">
        <v>0.41174300000000003</v>
      </c>
      <c r="G51">
        <v>2012</v>
      </c>
      <c r="H51">
        <v>2015</v>
      </c>
      <c r="I51" t="s">
        <v>71</v>
      </c>
      <c r="J51">
        <v>5</v>
      </c>
      <c r="K51">
        <v>6</v>
      </c>
      <c r="L51">
        <v>27160572</v>
      </c>
    </row>
    <row r="52" spans="1:13" x14ac:dyDescent="0.2">
      <c r="A52" t="s">
        <v>77</v>
      </c>
      <c r="B52" t="s">
        <v>277</v>
      </c>
      <c r="C52" t="s">
        <v>31</v>
      </c>
      <c r="D52" t="s">
        <v>32</v>
      </c>
      <c r="E52">
        <v>9.2945399999999996</v>
      </c>
      <c r="F52">
        <v>0.41174300000000003</v>
      </c>
      <c r="G52">
        <v>2012</v>
      </c>
      <c r="H52">
        <v>2015</v>
      </c>
      <c r="I52" t="s">
        <v>72</v>
      </c>
      <c r="J52">
        <v>0</v>
      </c>
      <c r="K52">
        <v>6</v>
      </c>
      <c r="L52">
        <v>27160572</v>
      </c>
    </row>
    <row r="53" spans="1:13" x14ac:dyDescent="0.2">
      <c r="A53" t="s">
        <v>77</v>
      </c>
      <c r="B53" t="s">
        <v>278</v>
      </c>
      <c r="C53" t="s">
        <v>47</v>
      </c>
      <c r="D53" t="s">
        <v>48</v>
      </c>
      <c r="E53">
        <v>32.432499999999997</v>
      </c>
      <c r="F53">
        <v>15.501799999999999</v>
      </c>
      <c r="G53">
        <v>2012</v>
      </c>
      <c r="H53">
        <v>2015</v>
      </c>
      <c r="I53" t="s">
        <v>73</v>
      </c>
      <c r="J53">
        <v>6</v>
      </c>
      <c r="K53">
        <v>9</v>
      </c>
      <c r="L53">
        <v>27160572</v>
      </c>
    </row>
    <row r="54" spans="1:13" x14ac:dyDescent="0.2">
      <c r="A54" t="s">
        <v>77</v>
      </c>
      <c r="B54" t="s">
        <v>278</v>
      </c>
      <c r="C54" t="s">
        <v>47</v>
      </c>
      <c r="D54" t="s">
        <v>48</v>
      </c>
      <c r="E54">
        <v>32.432499999999997</v>
      </c>
      <c r="F54">
        <v>15.501799999999999</v>
      </c>
      <c r="G54">
        <v>2012</v>
      </c>
      <c r="H54">
        <v>2015</v>
      </c>
      <c r="I54" t="s">
        <v>71</v>
      </c>
      <c r="J54">
        <v>3</v>
      </c>
      <c r="K54">
        <v>9</v>
      </c>
      <c r="L54">
        <v>27160572</v>
      </c>
    </row>
    <row r="55" spans="1:13" x14ac:dyDescent="0.2">
      <c r="A55" t="s">
        <v>77</v>
      </c>
      <c r="B55" t="s">
        <v>278</v>
      </c>
      <c r="C55" t="s">
        <v>47</v>
      </c>
      <c r="D55" t="s">
        <v>48</v>
      </c>
      <c r="E55">
        <v>32.432499999999997</v>
      </c>
      <c r="F55">
        <v>15.501799999999999</v>
      </c>
      <c r="G55">
        <v>2012</v>
      </c>
      <c r="H55">
        <v>2015</v>
      </c>
      <c r="I55" t="s">
        <v>72</v>
      </c>
      <c r="J55">
        <v>0</v>
      </c>
      <c r="K55">
        <v>9</v>
      </c>
      <c r="L55">
        <v>27160572</v>
      </c>
    </row>
    <row r="56" spans="1:13" x14ac:dyDescent="0.2">
      <c r="A56" t="s">
        <v>77</v>
      </c>
      <c r="B56" t="s">
        <v>282</v>
      </c>
      <c r="C56" t="s">
        <v>53</v>
      </c>
      <c r="D56" t="s">
        <v>54</v>
      </c>
      <c r="E56">
        <v>28.203700000000001</v>
      </c>
      <c r="F56">
        <v>-15.416499999999999</v>
      </c>
      <c r="G56">
        <v>2012</v>
      </c>
      <c r="H56">
        <v>2015</v>
      </c>
      <c r="I56" t="s">
        <v>73</v>
      </c>
      <c r="J56">
        <v>19</v>
      </c>
      <c r="K56">
        <v>20</v>
      </c>
      <c r="L56">
        <v>27160572</v>
      </c>
    </row>
    <row r="57" spans="1:13" x14ac:dyDescent="0.2">
      <c r="A57" t="s">
        <v>77</v>
      </c>
      <c r="B57" t="s">
        <v>282</v>
      </c>
      <c r="C57" t="s">
        <v>53</v>
      </c>
      <c r="D57" t="s">
        <v>54</v>
      </c>
      <c r="E57">
        <v>28.203700000000001</v>
      </c>
      <c r="F57">
        <v>-15.416499999999999</v>
      </c>
      <c r="G57">
        <v>2012</v>
      </c>
      <c r="H57">
        <v>2015</v>
      </c>
      <c r="I57" t="s">
        <v>71</v>
      </c>
      <c r="J57">
        <v>1</v>
      </c>
      <c r="K57">
        <v>20</v>
      </c>
      <c r="L57">
        <v>27160572</v>
      </c>
    </row>
    <row r="58" spans="1:13" x14ac:dyDescent="0.2">
      <c r="A58" t="s">
        <v>77</v>
      </c>
      <c r="B58" t="s">
        <v>282</v>
      </c>
      <c r="C58" t="s">
        <v>53</v>
      </c>
      <c r="D58" t="s">
        <v>54</v>
      </c>
      <c r="E58">
        <v>28.203700000000001</v>
      </c>
      <c r="F58">
        <v>-15.416499999999999</v>
      </c>
      <c r="G58">
        <v>2012</v>
      </c>
      <c r="H58">
        <v>2015</v>
      </c>
      <c r="I58" t="s">
        <v>72</v>
      </c>
      <c r="J58">
        <v>0</v>
      </c>
      <c r="K58">
        <v>20</v>
      </c>
      <c r="L58">
        <v>27160572</v>
      </c>
    </row>
    <row r="59" spans="1:13" x14ac:dyDescent="0.2">
      <c r="A59" t="s">
        <v>77</v>
      </c>
      <c r="B59" t="s">
        <v>283</v>
      </c>
      <c r="C59" t="s">
        <v>55</v>
      </c>
      <c r="D59" t="s">
        <v>56</v>
      </c>
      <c r="E59">
        <v>30.916799999999999</v>
      </c>
      <c r="F59">
        <v>-17.816299999999998</v>
      </c>
      <c r="G59">
        <v>2012</v>
      </c>
      <c r="H59">
        <v>2015</v>
      </c>
      <c r="I59" t="s">
        <v>73</v>
      </c>
      <c r="J59">
        <v>1</v>
      </c>
      <c r="K59">
        <v>1</v>
      </c>
      <c r="L59">
        <v>27160572</v>
      </c>
    </row>
    <row r="60" spans="1:13" x14ac:dyDescent="0.2">
      <c r="A60" t="s">
        <v>77</v>
      </c>
      <c r="B60" t="s">
        <v>283</v>
      </c>
      <c r="C60" t="s">
        <v>55</v>
      </c>
      <c r="D60" t="s">
        <v>56</v>
      </c>
      <c r="E60">
        <v>30.916799999999999</v>
      </c>
      <c r="F60">
        <v>-17.816299999999998</v>
      </c>
      <c r="G60">
        <v>2012</v>
      </c>
      <c r="H60">
        <v>2015</v>
      </c>
      <c r="I60" t="s">
        <v>71</v>
      </c>
      <c r="J60">
        <v>0</v>
      </c>
      <c r="K60">
        <v>1</v>
      </c>
      <c r="L60">
        <v>27160572</v>
      </c>
    </row>
    <row r="61" spans="1:13" x14ac:dyDescent="0.2">
      <c r="A61" t="s">
        <v>77</v>
      </c>
      <c r="B61" t="s">
        <v>283</v>
      </c>
      <c r="C61" t="s">
        <v>55</v>
      </c>
      <c r="D61" t="s">
        <v>56</v>
      </c>
      <c r="E61">
        <v>30.916799999999999</v>
      </c>
      <c r="F61">
        <v>-17.816299999999998</v>
      </c>
      <c r="G61">
        <v>2012</v>
      </c>
      <c r="H61">
        <v>2015</v>
      </c>
      <c r="I61" t="s">
        <v>72</v>
      </c>
      <c r="J61">
        <v>0</v>
      </c>
      <c r="K61">
        <v>1</v>
      </c>
      <c r="L61">
        <v>27160572</v>
      </c>
    </row>
    <row r="62" spans="1:13" x14ac:dyDescent="0.2">
      <c r="A62" t="s">
        <v>77</v>
      </c>
      <c r="B62" t="s">
        <v>284</v>
      </c>
      <c r="C62" t="s">
        <v>39</v>
      </c>
      <c r="D62" t="s">
        <v>40</v>
      </c>
      <c r="E62">
        <v>13.1913</v>
      </c>
      <c r="F62">
        <v>32.8872</v>
      </c>
      <c r="G62">
        <v>2012</v>
      </c>
      <c r="H62">
        <v>2015</v>
      </c>
      <c r="I62" t="s">
        <v>73</v>
      </c>
      <c r="J62">
        <v>0</v>
      </c>
      <c r="K62">
        <v>2</v>
      </c>
      <c r="L62">
        <v>27160572</v>
      </c>
    </row>
    <row r="63" spans="1:13" x14ac:dyDescent="0.2">
      <c r="A63" t="s">
        <v>77</v>
      </c>
      <c r="B63" t="s">
        <v>284</v>
      </c>
      <c r="C63" t="s">
        <v>39</v>
      </c>
      <c r="D63" t="s">
        <v>40</v>
      </c>
      <c r="E63">
        <v>13.1913</v>
      </c>
      <c r="F63">
        <v>32.8872</v>
      </c>
      <c r="G63">
        <v>2012</v>
      </c>
      <c r="H63">
        <v>2015</v>
      </c>
      <c r="I63" t="s">
        <v>71</v>
      </c>
      <c r="J63">
        <v>1</v>
      </c>
      <c r="K63">
        <v>2</v>
      </c>
      <c r="L63">
        <v>27160572</v>
      </c>
    </row>
    <row r="64" spans="1:13" x14ac:dyDescent="0.2">
      <c r="A64" t="s">
        <v>77</v>
      </c>
      <c r="B64" t="s">
        <v>284</v>
      </c>
      <c r="C64" t="s">
        <v>39</v>
      </c>
      <c r="D64" t="s">
        <v>40</v>
      </c>
      <c r="E64">
        <v>13.1913</v>
      </c>
      <c r="F64">
        <v>32.8872</v>
      </c>
      <c r="G64">
        <v>2012</v>
      </c>
      <c r="H64">
        <v>2015</v>
      </c>
      <c r="I64" t="s">
        <v>72</v>
      </c>
      <c r="J64">
        <v>1</v>
      </c>
      <c r="K64">
        <v>2</v>
      </c>
      <c r="L64">
        <v>27160572</v>
      </c>
      <c r="M64" t="s">
        <v>331</v>
      </c>
    </row>
    <row r="65" spans="1:13" x14ac:dyDescent="0.2">
      <c r="A65" t="s">
        <v>77</v>
      </c>
      <c r="B65" t="s">
        <v>285</v>
      </c>
      <c r="C65" t="s">
        <v>30</v>
      </c>
      <c r="D65" t="s">
        <v>286</v>
      </c>
      <c r="E65">
        <v>38.638100000000001</v>
      </c>
      <c r="F65">
        <v>8.9634900000000002</v>
      </c>
      <c r="G65">
        <v>2012</v>
      </c>
      <c r="H65">
        <v>2015</v>
      </c>
      <c r="I65" t="s">
        <v>73</v>
      </c>
      <c r="J65">
        <v>0</v>
      </c>
      <c r="K65">
        <v>2</v>
      </c>
      <c r="L65">
        <v>27160572</v>
      </c>
    </row>
    <row r="66" spans="1:13" x14ac:dyDescent="0.2">
      <c r="A66" t="s">
        <v>77</v>
      </c>
      <c r="B66" t="s">
        <v>285</v>
      </c>
      <c r="C66" t="s">
        <v>30</v>
      </c>
      <c r="D66" t="s">
        <v>286</v>
      </c>
      <c r="E66">
        <v>38.638100000000001</v>
      </c>
      <c r="F66">
        <v>8.9634900000000002</v>
      </c>
      <c r="G66">
        <v>2012</v>
      </c>
      <c r="H66">
        <v>2015</v>
      </c>
      <c r="I66" t="s">
        <v>71</v>
      </c>
      <c r="J66">
        <v>2</v>
      </c>
      <c r="K66">
        <v>2</v>
      </c>
      <c r="L66">
        <v>27160572</v>
      </c>
    </row>
    <row r="67" spans="1:13" x14ac:dyDescent="0.2">
      <c r="A67" t="s">
        <v>77</v>
      </c>
      <c r="B67" t="s">
        <v>285</v>
      </c>
      <c r="C67" t="s">
        <v>30</v>
      </c>
      <c r="D67" t="s">
        <v>286</v>
      </c>
      <c r="E67">
        <v>38.638100000000001</v>
      </c>
      <c r="F67">
        <v>8.9634900000000002</v>
      </c>
      <c r="G67">
        <v>2012</v>
      </c>
      <c r="H67">
        <v>2015</v>
      </c>
      <c r="I67" t="s">
        <v>72</v>
      </c>
      <c r="J67">
        <v>0</v>
      </c>
      <c r="K67">
        <v>2</v>
      </c>
      <c r="L67">
        <v>27160572</v>
      </c>
    </row>
    <row r="68" spans="1:13" x14ac:dyDescent="0.2">
      <c r="A68" t="s">
        <v>77</v>
      </c>
      <c r="B68" t="s">
        <v>287</v>
      </c>
      <c r="C68" t="s">
        <v>11</v>
      </c>
      <c r="D68" t="s">
        <v>36</v>
      </c>
      <c r="E68">
        <v>36.707299999999996</v>
      </c>
      <c r="F68">
        <v>-1.30446</v>
      </c>
      <c r="G68">
        <v>2012</v>
      </c>
      <c r="H68">
        <v>2015</v>
      </c>
      <c r="I68" t="s">
        <v>73</v>
      </c>
      <c r="J68">
        <v>3</v>
      </c>
      <c r="K68">
        <v>3</v>
      </c>
      <c r="L68">
        <v>27160572</v>
      </c>
    </row>
    <row r="69" spans="1:13" x14ac:dyDescent="0.2">
      <c r="A69" t="s">
        <v>77</v>
      </c>
      <c r="B69" t="s">
        <v>287</v>
      </c>
      <c r="C69" t="s">
        <v>11</v>
      </c>
      <c r="D69" t="s">
        <v>36</v>
      </c>
      <c r="E69">
        <v>36.707299999999996</v>
      </c>
      <c r="F69">
        <v>-1.30446</v>
      </c>
      <c r="G69">
        <v>2012</v>
      </c>
      <c r="H69">
        <v>2015</v>
      </c>
      <c r="I69" t="s">
        <v>71</v>
      </c>
      <c r="J69">
        <v>0</v>
      </c>
      <c r="K69">
        <v>3</v>
      </c>
      <c r="L69">
        <v>27160572</v>
      </c>
    </row>
    <row r="70" spans="1:13" x14ac:dyDescent="0.2">
      <c r="A70" t="s">
        <v>77</v>
      </c>
      <c r="B70" t="s">
        <v>287</v>
      </c>
      <c r="C70" t="s">
        <v>11</v>
      </c>
      <c r="D70" t="s">
        <v>36</v>
      </c>
      <c r="E70">
        <v>36.707299999999996</v>
      </c>
      <c r="F70">
        <v>-1.30446</v>
      </c>
      <c r="G70">
        <v>2012</v>
      </c>
      <c r="H70">
        <v>2015</v>
      </c>
      <c r="I70" t="s">
        <v>72</v>
      </c>
      <c r="J70">
        <v>0</v>
      </c>
      <c r="K70">
        <v>3</v>
      </c>
      <c r="L70">
        <v>27160572</v>
      </c>
    </row>
    <row r="71" spans="1:13" x14ac:dyDescent="0.2">
      <c r="A71" t="s">
        <v>77</v>
      </c>
      <c r="B71" t="s">
        <v>288</v>
      </c>
      <c r="C71" t="s">
        <v>14</v>
      </c>
      <c r="D71" t="s">
        <v>49</v>
      </c>
      <c r="E71">
        <v>35.7239</v>
      </c>
      <c r="F71">
        <v>-6.1684900000000003</v>
      </c>
      <c r="G71">
        <v>2012</v>
      </c>
      <c r="H71">
        <v>2015</v>
      </c>
      <c r="I71" t="s">
        <v>73</v>
      </c>
      <c r="J71">
        <v>6</v>
      </c>
      <c r="K71">
        <v>10</v>
      </c>
      <c r="L71">
        <v>27160572</v>
      </c>
    </row>
    <row r="72" spans="1:13" x14ac:dyDescent="0.2">
      <c r="A72" t="s">
        <v>77</v>
      </c>
      <c r="B72" t="s">
        <v>288</v>
      </c>
      <c r="C72" t="s">
        <v>14</v>
      </c>
      <c r="D72" t="s">
        <v>49</v>
      </c>
      <c r="E72">
        <v>35.7239</v>
      </c>
      <c r="F72">
        <v>-6.1684900000000003</v>
      </c>
      <c r="G72">
        <v>2012</v>
      </c>
      <c r="H72">
        <v>2015</v>
      </c>
      <c r="I72" t="s">
        <v>71</v>
      </c>
      <c r="J72">
        <v>3</v>
      </c>
      <c r="K72">
        <v>10</v>
      </c>
      <c r="L72">
        <v>27160572</v>
      </c>
    </row>
    <row r="73" spans="1:13" x14ac:dyDescent="0.2">
      <c r="A73" t="s">
        <v>77</v>
      </c>
      <c r="B73" t="s">
        <v>288</v>
      </c>
      <c r="C73" t="s">
        <v>14</v>
      </c>
      <c r="D73" t="s">
        <v>49</v>
      </c>
      <c r="E73">
        <v>35.7239</v>
      </c>
      <c r="F73">
        <v>-6.1684900000000003</v>
      </c>
      <c r="G73">
        <v>2012</v>
      </c>
      <c r="H73">
        <v>2015</v>
      </c>
      <c r="I73" t="s">
        <v>72</v>
      </c>
      <c r="J73">
        <v>1</v>
      </c>
      <c r="K73">
        <v>10</v>
      </c>
      <c r="L73">
        <v>27160572</v>
      </c>
      <c r="M73" t="s">
        <v>331</v>
      </c>
    </row>
    <row r="74" spans="1:13" x14ac:dyDescent="0.2">
      <c r="A74" t="s">
        <v>77</v>
      </c>
      <c r="B74" t="s">
        <v>289</v>
      </c>
      <c r="C74" t="s">
        <v>44</v>
      </c>
      <c r="D74" t="s">
        <v>290</v>
      </c>
      <c r="E74">
        <v>7.25427</v>
      </c>
      <c r="F74">
        <v>9.0546500000000005</v>
      </c>
      <c r="G74">
        <v>2012</v>
      </c>
      <c r="H74">
        <v>2015</v>
      </c>
      <c r="I74" t="s">
        <v>73</v>
      </c>
      <c r="J74">
        <v>41</v>
      </c>
      <c r="K74">
        <v>74</v>
      </c>
      <c r="L74">
        <v>27160572</v>
      </c>
    </row>
    <row r="75" spans="1:13" x14ac:dyDescent="0.2">
      <c r="A75" t="s">
        <v>77</v>
      </c>
      <c r="B75" t="s">
        <v>289</v>
      </c>
      <c r="C75" t="s">
        <v>44</v>
      </c>
      <c r="D75" t="s">
        <v>290</v>
      </c>
      <c r="E75">
        <v>7.25427</v>
      </c>
      <c r="F75">
        <v>9.0546500000000005</v>
      </c>
      <c r="G75">
        <v>2012</v>
      </c>
      <c r="H75">
        <v>2015</v>
      </c>
      <c r="I75" t="s">
        <v>71</v>
      </c>
      <c r="J75">
        <v>31</v>
      </c>
      <c r="K75">
        <v>74</v>
      </c>
      <c r="L75">
        <v>27160572</v>
      </c>
    </row>
    <row r="76" spans="1:13" x14ac:dyDescent="0.2">
      <c r="A76" t="s">
        <v>77</v>
      </c>
      <c r="B76" t="s">
        <v>289</v>
      </c>
      <c r="C76" t="s">
        <v>44</v>
      </c>
      <c r="D76" t="s">
        <v>290</v>
      </c>
      <c r="E76">
        <v>7.25427</v>
      </c>
      <c r="F76">
        <v>9.0546500000000005</v>
      </c>
      <c r="G76">
        <v>2012</v>
      </c>
      <c r="H76">
        <v>2015</v>
      </c>
      <c r="I76" t="s">
        <v>72</v>
      </c>
      <c r="J76">
        <v>2</v>
      </c>
      <c r="K76">
        <v>74</v>
      </c>
      <c r="L76">
        <v>27160572</v>
      </c>
      <c r="M76" t="s">
        <v>331</v>
      </c>
    </row>
    <row r="77" spans="1:13" x14ac:dyDescent="0.2">
      <c r="A77" t="s">
        <v>77</v>
      </c>
      <c r="B77" t="s">
        <v>291</v>
      </c>
      <c r="C77" t="s">
        <v>7</v>
      </c>
      <c r="D77" t="s">
        <v>292</v>
      </c>
      <c r="E77">
        <v>-1.6068800000000001</v>
      </c>
      <c r="F77">
        <v>12.358700000000001</v>
      </c>
      <c r="G77">
        <v>2012</v>
      </c>
      <c r="H77">
        <v>2015</v>
      </c>
      <c r="I77" t="s">
        <v>73</v>
      </c>
      <c r="J77">
        <v>1</v>
      </c>
      <c r="K77">
        <v>1</v>
      </c>
      <c r="L77">
        <v>27160572</v>
      </c>
    </row>
    <row r="78" spans="1:13" x14ac:dyDescent="0.2">
      <c r="A78" t="s">
        <v>77</v>
      </c>
      <c r="B78" t="s">
        <v>291</v>
      </c>
      <c r="C78" t="s">
        <v>7</v>
      </c>
      <c r="D78" t="s">
        <v>292</v>
      </c>
      <c r="E78">
        <v>-1.6068800000000001</v>
      </c>
      <c r="F78">
        <v>12.358700000000001</v>
      </c>
      <c r="G78">
        <v>2012</v>
      </c>
      <c r="H78">
        <v>2015</v>
      </c>
      <c r="I78" t="s">
        <v>71</v>
      </c>
      <c r="J78">
        <v>0</v>
      </c>
      <c r="K78">
        <v>1</v>
      </c>
      <c r="L78">
        <v>27160572</v>
      </c>
    </row>
    <row r="79" spans="1:13" x14ac:dyDescent="0.2">
      <c r="A79" t="s">
        <v>77</v>
      </c>
      <c r="B79" t="s">
        <v>291</v>
      </c>
      <c r="C79" t="s">
        <v>7</v>
      </c>
      <c r="D79" t="s">
        <v>292</v>
      </c>
      <c r="E79">
        <v>-1.6068800000000001</v>
      </c>
      <c r="F79">
        <v>12.358700000000001</v>
      </c>
      <c r="G79">
        <v>2012</v>
      </c>
      <c r="H79">
        <v>2015</v>
      </c>
      <c r="I79" t="s">
        <v>72</v>
      </c>
      <c r="J79">
        <v>0</v>
      </c>
      <c r="K79">
        <v>1</v>
      </c>
      <c r="L79">
        <v>27160572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B8FBF-EA83-BD4A-9DA2-D133C46AC49C}">
  <dimension ref="A1:M55"/>
  <sheetViews>
    <sheetView workbookViewId="0">
      <selection activeCell="N23" sqref="N23"/>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163</v>
      </c>
      <c r="B2" t="s">
        <v>164</v>
      </c>
      <c r="C2" t="s">
        <v>160</v>
      </c>
      <c r="D2" t="s">
        <v>165</v>
      </c>
      <c r="E2">
        <v>-15.617800000000001</v>
      </c>
      <c r="F2">
        <v>11.8817</v>
      </c>
      <c r="G2">
        <v>2003</v>
      </c>
      <c r="H2">
        <v>2003</v>
      </c>
      <c r="I2" t="s">
        <v>73</v>
      </c>
      <c r="J2">
        <v>243</v>
      </c>
      <c r="K2">
        <v>318</v>
      </c>
      <c r="L2">
        <v>25421474</v>
      </c>
      <c r="M2" t="s">
        <v>332</v>
      </c>
    </row>
    <row r="3" spans="1:13" x14ac:dyDescent="0.2">
      <c r="A3" t="s">
        <v>163</v>
      </c>
      <c r="B3" t="s">
        <v>164</v>
      </c>
      <c r="C3" t="s">
        <v>160</v>
      </c>
      <c r="D3" t="s">
        <v>165</v>
      </c>
      <c r="E3">
        <v>-15.617800000000001</v>
      </c>
      <c r="F3">
        <v>11.8817</v>
      </c>
      <c r="G3">
        <v>2003</v>
      </c>
      <c r="H3">
        <v>2003</v>
      </c>
      <c r="I3" t="s">
        <v>71</v>
      </c>
      <c r="J3">
        <v>65</v>
      </c>
      <c r="K3">
        <v>318</v>
      </c>
      <c r="L3">
        <v>25421474</v>
      </c>
      <c r="M3" t="s">
        <v>332</v>
      </c>
    </row>
    <row r="4" spans="1:13" x14ac:dyDescent="0.2">
      <c r="A4" t="s">
        <v>163</v>
      </c>
      <c r="B4" t="s">
        <v>164</v>
      </c>
      <c r="C4" t="s">
        <v>160</v>
      </c>
      <c r="D4" t="s">
        <v>165</v>
      </c>
      <c r="E4">
        <v>-15.617800000000001</v>
      </c>
      <c r="F4">
        <v>11.8817</v>
      </c>
      <c r="G4">
        <v>2003</v>
      </c>
      <c r="H4">
        <v>2003</v>
      </c>
      <c r="I4" t="s">
        <v>72</v>
      </c>
      <c r="J4">
        <v>10</v>
      </c>
      <c r="K4">
        <v>318</v>
      </c>
      <c r="L4">
        <v>25421474</v>
      </c>
      <c r="M4" t="s">
        <v>332</v>
      </c>
    </row>
    <row r="5" spans="1:13" x14ac:dyDescent="0.2">
      <c r="A5" t="s">
        <v>163</v>
      </c>
      <c r="B5" t="s">
        <v>164</v>
      </c>
      <c r="C5" t="s">
        <v>160</v>
      </c>
      <c r="D5" t="s">
        <v>165</v>
      </c>
      <c r="E5">
        <v>-15.617800000000001</v>
      </c>
      <c r="F5">
        <v>11.8817</v>
      </c>
      <c r="G5">
        <v>2003</v>
      </c>
      <c r="H5">
        <v>2003</v>
      </c>
      <c r="I5" t="s">
        <v>76</v>
      </c>
      <c r="J5">
        <v>168</v>
      </c>
      <c r="K5">
        <v>317</v>
      </c>
      <c r="L5">
        <v>25421474</v>
      </c>
      <c r="M5" t="s">
        <v>332</v>
      </c>
    </row>
    <row r="6" spans="1:13" x14ac:dyDescent="0.2">
      <c r="A6" t="s">
        <v>163</v>
      </c>
      <c r="B6" t="s">
        <v>164</v>
      </c>
      <c r="C6" t="s">
        <v>160</v>
      </c>
      <c r="D6" t="s">
        <v>165</v>
      </c>
      <c r="E6">
        <v>-15.617800000000001</v>
      </c>
      <c r="F6">
        <v>11.8817</v>
      </c>
      <c r="G6">
        <v>2003</v>
      </c>
      <c r="H6">
        <v>2003</v>
      </c>
      <c r="I6" t="s">
        <v>74</v>
      </c>
      <c r="J6">
        <v>90</v>
      </c>
      <c r="K6">
        <v>317</v>
      </c>
      <c r="L6">
        <v>25421474</v>
      </c>
      <c r="M6" t="s">
        <v>332</v>
      </c>
    </row>
    <row r="7" spans="1:13" x14ac:dyDescent="0.2">
      <c r="A7" t="s">
        <v>163</v>
      </c>
      <c r="B7" t="s">
        <v>164</v>
      </c>
      <c r="C7" t="s">
        <v>160</v>
      </c>
      <c r="D7" t="s">
        <v>165</v>
      </c>
      <c r="E7">
        <v>-15.617800000000001</v>
      </c>
      <c r="F7">
        <v>11.8817</v>
      </c>
      <c r="G7">
        <v>2003</v>
      </c>
      <c r="H7">
        <v>2003</v>
      </c>
      <c r="I7" t="s">
        <v>75</v>
      </c>
      <c r="J7">
        <v>59</v>
      </c>
      <c r="K7">
        <v>317</v>
      </c>
      <c r="L7">
        <v>25421474</v>
      </c>
      <c r="M7" t="s">
        <v>332</v>
      </c>
    </row>
    <row r="8" spans="1:13" x14ac:dyDescent="0.2">
      <c r="A8" t="s">
        <v>163</v>
      </c>
      <c r="B8" t="s">
        <v>166</v>
      </c>
      <c r="C8" t="s">
        <v>160</v>
      </c>
      <c r="D8" t="s">
        <v>165</v>
      </c>
      <c r="E8">
        <v>-15.617800000000001</v>
      </c>
      <c r="F8">
        <v>11.8817</v>
      </c>
      <c r="G8">
        <v>2004</v>
      </c>
      <c r="H8">
        <v>2004</v>
      </c>
      <c r="I8" t="s">
        <v>73</v>
      </c>
      <c r="J8">
        <v>114</v>
      </c>
      <c r="K8">
        <v>151</v>
      </c>
      <c r="L8">
        <v>25421474</v>
      </c>
      <c r="M8" t="s">
        <v>332</v>
      </c>
    </row>
    <row r="9" spans="1:13" x14ac:dyDescent="0.2">
      <c r="A9" t="s">
        <v>163</v>
      </c>
      <c r="B9" t="s">
        <v>166</v>
      </c>
      <c r="C9" t="s">
        <v>160</v>
      </c>
      <c r="D9" t="s">
        <v>165</v>
      </c>
      <c r="E9">
        <v>-15.617800000000001</v>
      </c>
      <c r="F9">
        <v>11.8817</v>
      </c>
      <c r="G9">
        <v>2004</v>
      </c>
      <c r="H9">
        <v>2004</v>
      </c>
      <c r="I9" t="s">
        <v>71</v>
      </c>
      <c r="J9">
        <v>32</v>
      </c>
      <c r="K9">
        <v>151</v>
      </c>
      <c r="L9">
        <v>25421474</v>
      </c>
      <c r="M9" t="s">
        <v>332</v>
      </c>
    </row>
    <row r="10" spans="1:13" x14ac:dyDescent="0.2">
      <c r="A10" t="s">
        <v>163</v>
      </c>
      <c r="B10" t="s">
        <v>166</v>
      </c>
      <c r="C10" t="s">
        <v>160</v>
      </c>
      <c r="D10" t="s">
        <v>165</v>
      </c>
      <c r="E10">
        <v>-15.617800000000001</v>
      </c>
      <c r="F10">
        <v>11.8817</v>
      </c>
      <c r="G10">
        <v>2004</v>
      </c>
      <c r="H10">
        <v>2004</v>
      </c>
      <c r="I10" t="s">
        <v>72</v>
      </c>
      <c r="J10">
        <v>5</v>
      </c>
      <c r="K10">
        <v>151</v>
      </c>
      <c r="L10">
        <v>25421474</v>
      </c>
      <c r="M10" t="s">
        <v>332</v>
      </c>
    </row>
    <row r="11" spans="1:13" x14ac:dyDescent="0.2">
      <c r="A11" t="s">
        <v>163</v>
      </c>
      <c r="B11" t="s">
        <v>166</v>
      </c>
      <c r="C11" t="s">
        <v>160</v>
      </c>
      <c r="D11" t="s">
        <v>165</v>
      </c>
      <c r="E11">
        <v>-15.617800000000001</v>
      </c>
      <c r="F11">
        <v>11.8817</v>
      </c>
      <c r="G11">
        <v>2004</v>
      </c>
      <c r="H11">
        <v>2004</v>
      </c>
      <c r="I11" t="s">
        <v>76</v>
      </c>
      <c r="J11">
        <v>89</v>
      </c>
      <c r="K11">
        <v>155</v>
      </c>
      <c r="L11">
        <v>25421474</v>
      </c>
      <c r="M11" t="s">
        <v>332</v>
      </c>
    </row>
    <row r="12" spans="1:13" x14ac:dyDescent="0.2">
      <c r="A12" t="s">
        <v>163</v>
      </c>
      <c r="B12" t="s">
        <v>166</v>
      </c>
      <c r="C12" t="s">
        <v>160</v>
      </c>
      <c r="D12" t="s">
        <v>165</v>
      </c>
      <c r="E12">
        <v>-15.617800000000001</v>
      </c>
      <c r="F12">
        <v>11.8817</v>
      </c>
      <c r="G12">
        <v>2004</v>
      </c>
      <c r="H12">
        <v>2004</v>
      </c>
      <c r="I12" t="s">
        <v>74</v>
      </c>
      <c r="J12">
        <v>47</v>
      </c>
      <c r="K12">
        <v>155</v>
      </c>
      <c r="L12">
        <v>25421474</v>
      </c>
      <c r="M12" t="s">
        <v>332</v>
      </c>
    </row>
    <row r="13" spans="1:13" x14ac:dyDescent="0.2">
      <c r="A13" t="s">
        <v>163</v>
      </c>
      <c r="B13" t="s">
        <v>166</v>
      </c>
      <c r="C13" t="s">
        <v>160</v>
      </c>
      <c r="D13" t="s">
        <v>165</v>
      </c>
      <c r="E13">
        <v>-15.617800000000001</v>
      </c>
      <c r="F13">
        <v>11.8817</v>
      </c>
      <c r="G13">
        <v>2004</v>
      </c>
      <c r="H13">
        <v>2004</v>
      </c>
      <c r="I13" t="s">
        <v>75</v>
      </c>
      <c r="J13">
        <v>19</v>
      </c>
      <c r="K13">
        <v>155</v>
      </c>
      <c r="L13">
        <v>25421474</v>
      </c>
      <c r="M13" t="s">
        <v>332</v>
      </c>
    </row>
    <row r="14" spans="1:13" x14ac:dyDescent="0.2">
      <c r="A14" t="s">
        <v>163</v>
      </c>
      <c r="B14" t="s">
        <v>167</v>
      </c>
      <c r="C14" t="s">
        <v>160</v>
      </c>
      <c r="D14" t="s">
        <v>165</v>
      </c>
      <c r="E14">
        <v>-15.617800000000001</v>
      </c>
      <c r="F14">
        <v>11.8817</v>
      </c>
      <c r="G14">
        <v>2005</v>
      </c>
      <c r="H14">
        <v>2005</v>
      </c>
      <c r="I14" t="s">
        <v>73</v>
      </c>
      <c r="J14">
        <v>130</v>
      </c>
      <c r="K14">
        <v>169</v>
      </c>
      <c r="L14">
        <v>25421474</v>
      </c>
      <c r="M14" t="s">
        <v>332</v>
      </c>
    </row>
    <row r="15" spans="1:13" x14ac:dyDescent="0.2">
      <c r="A15" t="s">
        <v>163</v>
      </c>
      <c r="B15" t="s">
        <v>167</v>
      </c>
      <c r="C15" t="s">
        <v>160</v>
      </c>
      <c r="D15" t="s">
        <v>165</v>
      </c>
      <c r="E15">
        <v>-15.617800000000001</v>
      </c>
      <c r="F15">
        <v>11.8817</v>
      </c>
      <c r="G15">
        <v>2005</v>
      </c>
      <c r="H15">
        <v>2005</v>
      </c>
      <c r="I15" t="s">
        <v>71</v>
      </c>
      <c r="J15">
        <v>33</v>
      </c>
      <c r="K15">
        <v>169</v>
      </c>
      <c r="L15">
        <v>25421474</v>
      </c>
      <c r="M15" t="s">
        <v>332</v>
      </c>
    </row>
    <row r="16" spans="1:13" x14ac:dyDescent="0.2">
      <c r="A16" t="s">
        <v>163</v>
      </c>
      <c r="B16" t="s">
        <v>167</v>
      </c>
      <c r="C16" t="s">
        <v>160</v>
      </c>
      <c r="D16" t="s">
        <v>165</v>
      </c>
      <c r="E16">
        <v>-15.617800000000001</v>
      </c>
      <c r="F16">
        <v>11.8817</v>
      </c>
      <c r="G16">
        <v>2005</v>
      </c>
      <c r="H16">
        <v>2005</v>
      </c>
      <c r="I16" t="s">
        <v>72</v>
      </c>
      <c r="J16">
        <v>6</v>
      </c>
      <c r="K16">
        <v>169</v>
      </c>
      <c r="L16">
        <v>25421474</v>
      </c>
      <c r="M16" t="s">
        <v>332</v>
      </c>
    </row>
    <row r="17" spans="1:13" x14ac:dyDescent="0.2">
      <c r="A17" t="s">
        <v>163</v>
      </c>
      <c r="B17" t="s">
        <v>167</v>
      </c>
      <c r="C17" t="s">
        <v>160</v>
      </c>
      <c r="D17" t="s">
        <v>165</v>
      </c>
      <c r="E17">
        <v>-15.617800000000001</v>
      </c>
      <c r="F17">
        <v>11.8817</v>
      </c>
      <c r="G17">
        <v>2005</v>
      </c>
      <c r="H17">
        <v>2005</v>
      </c>
      <c r="I17" t="s">
        <v>76</v>
      </c>
      <c r="J17">
        <v>109</v>
      </c>
      <c r="K17">
        <v>170</v>
      </c>
      <c r="L17">
        <v>25421474</v>
      </c>
      <c r="M17" t="s">
        <v>332</v>
      </c>
    </row>
    <row r="18" spans="1:13" x14ac:dyDescent="0.2">
      <c r="A18" t="s">
        <v>163</v>
      </c>
      <c r="B18" t="s">
        <v>167</v>
      </c>
      <c r="C18" t="s">
        <v>160</v>
      </c>
      <c r="D18" t="s">
        <v>165</v>
      </c>
      <c r="E18">
        <v>-15.617800000000001</v>
      </c>
      <c r="F18">
        <v>11.8817</v>
      </c>
      <c r="G18">
        <v>2005</v>
      </c>
      <c r="H18">
        <v>2005</v>
      </c>
      <c r="I18" t="s">
        <v>74</v>
      </c>
      <c r="J18">
        <v>36</v>
      </c>
      <c r="K18">
        <v>170</v>
      </c>
      <c r="L18">
        <v>25421474</v>
      </c>
      <c r="M18" t="s">
        <v>332</v>
      </c>
    </row>
    <row r="19" spans="1:13" x14ac:dyDescent="0.2">
      <c r="A19" t="s">
        <v>163</v>
      </c>
      <c r="B19" t="s">
        <v>167</v>
      </c>
      <c r="C19" t="s">
        <v>160</v>
      </c>
      <c r="D19" t="s">
        <v>165</v>
      </c>
      <c r="E19">
        <v>-15.617800000000001</v>
      </c>
      <c r="F19">
        <v>11.8817</v>
      </c>
      <c r="G19">
        <v>2005</v>
      </c>
      <c r="H19">
        <v>2005</v>
      </c>
      <c r="I19" t="s">
        <v>75</v>
      </c>
      <c r="J19">
        <v>25</v>
      </c>
      <c r="K19">
        <v>170</v>
      </c>
      <c r="L19">
        <v>25421474</v>
      </c>
      <c r="M19" t="s">
        <v>332</v>
      </c>
    </row>
    <row r="20" spans="1:13" x14ac:dyDescent="0.2">
      <c r="A20" t="s">
        <v>163</v>
      </c>
      <c r="B20" t="s">
        <v>168</v>
      </c>
      <c r="C20" t="s">
        <v>160</v>
      </c>
      <c r="D20" t="s">
        <v>165</v>
      </c>
      <c r="E20">
        <v>-15.617800000000001</v>
      </c>
      <c r="F20">
        <v>11.8817</v>
      </c>
      <c r="G20">
        <v>2006</v>
      </c>
      <c r="H20">
        <v>2006</v>
      </c>
      <c r="I20" t="s">
        <v>73</v>
      </c>
      <c r="J20">
        <v>68</v>
      </c>
      <c r="K20">
        <v>88</v>
      </c>
      <c r="L20">
        <v>25421474</v>
      </c>
      <c r="M20" t="s">
        <v>332</v>
      </c>
    </row>
    <row r="21" spans="1:13" x14ac:dyDescent="0.2">
      <c r="A21" t="s">
        <v>163</v>
      </c>
      <c r="B21" t="s">
        <v>168</v>
      </c>
      <c r="C21" t="s">
        <v>160</v>
      </c>
      <c r="D21" t="s">
        <v>165</v>
      </c>
      <c r="E21">
        <v>-15.617800000000001</v>
      </c>
      <c r="F21">
        <v>11.8817</v>
      </c>
      <c r="G21">
        <v>2006</v>
      </c>
      <c r="H21">
        <v>2006</v>
      </c>
      <c r="I21" t="s">
        <v>71</v>
      </c>
      <c r="J21">
        <v>14</v>
      </c>
      <c r="K21">
        <v>88</v>
      </c>
      <c r="L21">
        <v>25421474</v>
      </c>
      <c r="M21" t="s">
        <v>332</v>
      </c>
    </row>
    <row r="22" spans="1:13" x14ac:dyDescent="0.2">
      <c r="A22" t="s">
        <v>163</v>
      </c>
      <c r="B22" t="s">
        <v>168</v>
      </c>
      <c r="C22" t="s">
        <v>160</v>
      </c>
      <c r="D22" t="s">
        <v>165</v>
      </c>
      <c r="E22">
        <v>-15.617800000000001</v>
      </c>
      <c r="F22">
        <v>11.8817</v>
      </c>
      <c r="G22">
        <v>2006</v>
      </c>
      <c r="H22">
        <v>2006</v>
      </c>
      <c r="I22" t="s">
        <v>72</v>
      </c>
      <c r="J22">
        <v>6</v>
      </c>
      <c r="K22">
        <v>88</v>
      </c>
      <c r="L22">
        <v>25421474</v>
      </c>
      <c r="M22" t="s">
        <v>332</v>
      </c>
    </row>
    <row r="23" spans="1:13" x14ac:dyDescent="0.2">
      <c r="A23" t="s">
        <v>163</v>
      </c>
      <c r="B23" t="s">
        <v>168</v>
      </c>
      <c r="C23" t="s">
        <v>160</v>
      </c>
      <c r="D23" t="s">
        <v>165</v>
      </c>
      <c r="E23">
        <v>-15.617800000000001</v>
      </c>
      <c r="F23">
        <v>11.8817</v>
      </c>
      <c r="G23">
        <v>2006</v>
      </c>
      <c r="H23">
        <v>2006</v>
      </c>
      <c r="I23" t="s">
        <v>76</v>
      </c>
      <c r="J23">
        <v>51</v>
      </c>
      <c r="K23">
        <v>88</v>
      </c>
      <c r="L23">
        <v>25421474</v>
      </c>
      <c r="M23" t="s">
        <v>332</v>
      </c>
    </row>
    <row r="24" spans="1:13" x14ac:dyDescent="0.2">
      <c r="A24" t="s">
        <v>163</v>
      </c>
      <c r="B24" t="s">
        <v>168</v>
      </c>
      <c r="C24" t="s">
        <v>160</v>
      </c>
      <c r="D24" t="s">
        <v>165</v>
      </c>
      <c r="E24">
        <v>-15.617800000000001</v>
      </c>
      <c r="F24">
        <v>11.8817</v>
      </c>
      <c r="G24">
        <v>2006</v>
      </c>
      <c r="H24">
        <v>2006</v>
      </c>
      <c r="I24" t="s">
        <v>74</v>
      </c>
      <c r="J24">
        <v>18</v>
      </c>
      <c r="K24">
        <v>88</v>
      </c>
      <c r="L24">
        <v>25421474</v>
      </c>
      <c r="M24" t="s">
        <v>332</v>
      </c>
    </row>
    <row r="25" spans="1:13" x14ac:dyDescent="0.2">
      <c r="A25" t="s">
        <v>163</v>
      </c>
      <c r="B25" t="s">
        <v>168</v>
      </c>
      <c r="C25" t="s">
        <v>160</v>
      </c>
      <c r="D25" t="s">
        <v>165</v>
      </c>
      <c r="E25">
        <v>-15.617800000000001</v>
      </c>
      <c r="F25">
        <v>11.8817</v>
      </c>
      <c r="G25">
        <v>2006</v>
      </c>
      <c r="H25">
        <v>2006</v>
      </c>
      <c r="I25" t="s">
        <v>75</v>
      </c>
      <c r="J25">
        <v>19</v>
      </c>
      <c r="K25">
        <v>88</v>
      </c>
      <c r="L25">
        <v>25421474</v>
      </c>
      <c r="M25" t="s">
        <v>332</v>
      </c>
    </row>
    <row r="26" spans="1:13" x14ac:dyDescent="0.2">
      <c r="A26" t="s">
        <v>163</v>
      </c>
      <c r="B26" t="s">
        <v>169</v>
      </c>
      <c r="C26" t="s">
        <v>160</v>
      </c>
      <c r="D26" t="s">
        <v>165</v>
      </c>
      <c r="E26">
        <v>-15.617800000000001</v>
      </c>
      <c r="F26">
        <v>11.8817</v>
      </c>
      <c r="G26">
        <v>2007</v>
      </c>
      <c r="H26">
        <v>2007</v>
      </c>
      <c r="I26" t="s">
        <v>73</v>
      </c>
      <c r="J26">
        <v>30</v>
      </c>
      <c r="K26">
        <v>40</v>
      </c>
      <c r="L26">
        <v>25421474</v>
      </c>
      <c r="M26" t="s">
        <v>332</v>
      </c>
    </row>
    <row r="27" spans="1:13" x14ac:dyDescent="0.2">
      <c r="A27" t="s">
        <v>163</v>
      </c>
      <c r="B27" t="s">
        <v>169</v>
      </c>
      <c r="C27" t="s">
        <v>160</v>
      </c>
      <c r="D27" t="s">
        <v>165</v>
      </c>
      <c r="E27">
        <v>-15.617800000000001</v>
      </c>
      <c r="F27">
        <v>11.8817</v>
      </c>
      <c r="G27">
        <v>2007</v>
      </c>
      <c r="H27">
        <v>2007</v>
      </c>
      <c r="I27" t="s">
        <v>71</v>
      </c>
      <c r="J27">
        <v>8</v>
      </c>
      <c r="K27">
        <v>40</v>
      </c>
      <c r="L27">
        <v>25421474</v>
      </c>
      <c r="M27" t="s">
        <v>332</v>
      </c>
    </row>
    <row r="28" spans="1:13" x14ac:dyDescent="0.2">
      <c r="A28" t="s">
        <v>163</v>
      </c>
      <c r="B28" t="s">
        <v>169</v>
      </c>
      <c r="C28" t="s">
        <v>160</v>
      </c>
      <c r="D28" t="s">
        <v>165</v>
      </c>
      <c r="E28">
        <v>-15.617800000000001</v>
      </c>
      <c r="F28">
        <v>11.8817</v>
      </c>
      <c r="G28">
        <v>2007</v>
      </c>
      <c r="H28">
        <v>2007</v>
      </c>
      <c r="I28" t="s">
        <v>72</v>
      </c>
      <c r="J28">
        <v>2</v>
      </c>
      <c r="K28">
        <v>40</v>
      </c>
      <c r="L28">
        <v>25421474</v>
      </c>
      <c r="M28" t="s">
        <v>332</v>
      </c>
    </row>
    <row r="29" spans="1:13" x14ac:dyDescent="0.2">
      <c r="A29" t="s">
        <v>163</v>
      </c>
      <c r="B29" t="s">
        <v>169</v>
      </c>
      <c r="C29" t="s">
        <v>160</v>
      </c>
      <c r="D29" t="s">
        <v>165</v>
      </c>
      <c r="E29">
        <v>-15.617800000000001</v>
      </c>
      <c r="F29">
        <v>11.8817</v>
      </c>
      <c r="G29">
        <v>2007</v>
      </c>
      <c r="H29">
        <v>2007</v>
      </c>
      <c r="I29" t="s">
        <v>76</v>
      </c>
      <c r="J29">
        <v>21</v>
      </c>
      <c r="K29">
        <v>40</v>
      </c>
      <c r="L29">
        <v>25421474</v>
      </c>
      <c r="M29" t="s">
        <v>332</v>
      </c>
    </row>
    <row r="30" spans="1:13" x14ac:dyDescent="0.2">
      <c r="A30" t="s">
        <v>163</v>
      </c>
      <c r="B30" t="s">
        <v>169</v>
      </c>
      <c r="C30" t="s">
        <v>160</v>
      </c>
      <c r="D30" t="s">
        <v>165</v>
      </c>
      <c r="E30">
        <v>-15.617800000000001</v>
      </c>
      <c r="F30">
        <v>11.8817</v>
      </c>
      <c r="G30">
        <v>2007</v>
      </c>
      <c r="H30">
        <v>2007</v>
      </c>
      <c r="I30" t="s">
        <v>74</v>
      </c>
      <c r="J30">
        <v>15</v>
      </c>
      <c r="K30">
        <v>40</v>
      </c>
      <c r="L30">
        <v>25421474</v>
      </c>
      <c r="M30" t="s">
        <v>332</v>
      </c>
    </row>
    <row r="31" spans="1:13" x14ac:dyDescent="0.2">
      <c r="A31" t="s">
        <v>163</v>
      </c>
      <c r="B31" t="s">
        <v>169</v>
      </c>
      <c r="C31" t="s">
        <v>160</v>
      </c>
      <c r="D31" t="s">
        <v>165</v>
      </c>
      <c r="E31">
        <v>-15.617800000000001</v>
      </c>
      <c r="F31">
        <v>11.8817</v>
      </c>
      <c r="G31">
        <v>2007</v>
      </c>
      <c r="H31">
        <v>2007</v>
      </c>
      <c r="I31" t="s">
        <v>75</v>
      </c>
      <c r="J31">
        <v>4</v>
      </c>
      <c r="K31">
        <v>40</v>
      </c>
      <c r="L31">
        <v>25421474</v>
      </c>
      <c r="M31" t="s">
        <v>332</v>
      </c>
    </row>
    <row r="32" spans="1:13" x14ac:dyDescent="0.2">
      <c r="A32" t="s">
        <v>163</v>
      </c>
      <c r="B32" t="s">
        <v>170</v>
      </c>
      <c r="C32" t="s">
        <v>160</v>
      </c>
      <c r="D32" t="s">
        <v>165</v>
      </c>
      <c r="E32">
        <v>-15.617800000000001</v>
      </c>
      <c r="F32">
        <v>11.8817</v>
      </c>
      <c r="G32">
        <v>2008</v>
      </c>
      <c r="H32">
        <v>2008</v>
      </c>
      <c r="I32" t="s">
        <v>73</v>
      </c>
      <c r="J32">
        <v>92</v>
      </c>
      <c r="K32">
        <v>134</v>
      </c>
      <c r="L32">
        <v>25421474</v>
      </c>
      <c r="M32" t="s">
        <v>332</v>
      </c>
    </row>
    <row r="33" spans="1:13" x14ac:dyDescent="0.2">
      <c r="A33" t="s">
        <v>163</v>
      </c>
      <c r="B33" t="s">
        <v>170</v>
      </c>
      <c r="C33" t="s">
        <v>160</v>
      </c>
      <c r="D33" t="s">
        <v>165</v>
      </c>
      <c r="E33">
        <v>-15.617800000000001</v>
      </c>
      <c r="F33">
        <v>11.8817</v>
      </c>
      <c r="G33">
        <v>2008</v>
      </c>
      <c r="H33">
        <v>2008</v>
      </c>
      <c r="I33" t="s">
        <v>71</v>
      </c>
      <c r="J33">
        <v>39</v>
      </c>
      <c r="K33">
        <v>134</v>
      </c>
      <c r="L33">
        <v>25421474</v>
      </c>
      <c r="M33" t="s">
        <v>332</v>
      </c>
    </row>
    <row r="34" spans="1:13" x14ac:dyDescent="0.2">
      <c r="A34" t="s">
        <v>163</v>
      </c>
      <c r="B34" t="s">
        <v>170</v>
      </c>
      <c r="C34" t="s">
        <v>160</v>
      </c>
      <c r="D34" t="s">
        <v>165</v>
      </c>
      <c r="E34">
        <v>-15.617800000000001</v>
      </c>
      <c r="F34">
        <v>11.8817</v>
      </c>
      <c r="G34">
        <v>2008</v>
      </c>
      <c r="H34">
        <v>2008</v>
      </c>
      <c r="I34" t="s">
        <v>72</v>
      </c>
      <c r="J34">
        <v>3</v>
      </c>
      <c r="K34">
        <v>134</v>
      </c>
      <c r="L34">
        <v>25421474</v>
      </c>
      <c r="M34" t="s">
        <v>332</v>
      </c>
    </row>
    <row r="35" spans="1:13" x14ac:dyDescent="0.2">
      <c r="A35" t="s">
        <v>163</v>
      </c>
      <c r="B35" t="s">
        <v>170</v>
      </c>
      <c r="C35" t="s">
        <v>160</v>
      </c>
      <c r="D35" t="s">
        <v>165</v>
      </c>
      <c r="E35">
        <v>-15.617800000000001</v>
      </c>
      <c r="F35">
        <v>11.8817</v>
      </c>
      <c r="G35">
        <v>2008</v>
      </c>
      <c r="H35">
        <v>2008</v>
      </c>
      <c r="I35" t="s">
        <v>76</v>
      </c>
      <c r="J35">
        <v>86</v>
      </c>
      <c r="K35">
        <v>135</v>
      </c>
      <c r="L35">
        <v>25421474</v>
      </c>
      <c r="M35" t="s">
        <v>332</v>
      </c>
    </row>
    <row r="36" spans="1:13" x14ac:dyDescent="0.2">
      <c r="A36" t="s">
        <v>163</v>
      </c>
      <c r="B36" t="s">
        <v>170</v>
      </c>
      <c r="C36" t="s">
        <v>160</v>
      </c>
      <c r="D36" t="s">
        <v>165</v>
      </c>
      <c r="E36">
        <v>-15.617800000000001</v>
      </c>
      <c r="F36">
        <v>11.8817</v>
      </c>
      <c r="G36">
        <v>2008</v>
      </c>
      <c r="H36">
        <v>2008</v>
      </c>
      <c r="I36" t="s">
        <v>74</v>
      </c>
      <c r="J36">
        <v>39</v>
      </c>
      <c r="K36">
        <v>135</v>
      </c>
      <c r="L36">
        <v>25421474</v>
      </c>
      <c r="M36" t="s">
        <v>332</v>
      </c>
    </row>
    <row r="37" spans="1:13" x14ac:dyDescent="0.2">
      <c r="A37" t="s">
        <v>163</v>
      </c>
      <c r="B37" t="s">
        <v>170</v>
      </c>
      <c r="C37" t="s">
        <v>160</v>
      </c>
      <c r="D37" t="s">
        <v>165</v>
      </c>
      <c r="E37">
        <v>-15.617800000000001</v>
      </c>
      <c r="F37">
        <v>11.8817</v>
      </c>
      <c r="G37">
        <v>2008</v>
      </c>
      <c r="H37">
        <v>2008</v>
      </c>
      <c r="I37" t="s">
        <v>75</v>
      </c>
      <c r="J37">
        <v>10</v>
      </c>
      <c r="K37">
        <v>135</v>
      </c>
      <c r="L37">
        <v>25421474</v>
      </c>
      <c r="M37" t="s">
        <v>332</v>
      </c>
    </row>
    <row r="38" spans="1:13" x14ac:dyDescent="0.2">
      <c r="A38" t="s">
        <v>163</v>
      </c>
      <c r="B38" t="s">
        <v>171</v>
      </c>
      <c r="C38" t="s">
        <v>160</v>
      </c>
      <c r="D38" t="s">
        <v>165</v>
      </c>
      <c r="E38">
        <v>-15.617800000000001</v>
      </c>
      <c r="F38">
        <v>11.8817</v>
      </c>
      <c r="G38">
        <v>2010</v>
      </c>
      <c r="H38">
        <v>2010</v>
      </c>
      <c r="I38" t="s">
        <v>73</v>
      </c>
      <c r="J38">
        <v>155</v>
      </c>
      <c r="K38">
        <v>296</v>
      </c>
      <c r="L38">
        <v>25421474</v>
      </c>
      <c r="M38" t="s">
        <v>332</v>
      </c>
    </row>
    <row r="39" spans="1:13" x14ac:dyDescent="0.2">
      <c r="A39" t="s">
        <v>163</v>
      </c>
      <c r="B39" t="s">
        <v>171</v>
      </c>
      <c r="C39" t="s">
        <v>160</v>
      </c>
      <c r="D39" t="s">
        <v>165</v>
      </c>
      <c r="E39">
        <v>-15.617800000000001</v>
      </c>
      <c r="F39">
        <v>11.8817</v>
      </c>
      <c r="G39">
        <v>2010</v>
      </c>
      <c r="H39">
        <v>2010</v>
      </c>
      <c r="I39" t="s">
        <v>71</v>
      </c>
      <c r="J39">
        <v>103</v>
      </c>
      <c r="K39">
        <v>296</v>
      </c>
      <c r="L39">
        <v>25421474</v>
      </c>
      <c r="M39" t="s">
        <v>332</v>
      </c>
    </row>
    <row r="40" spans="1:13" x14ac:dyDescent="0.2">
      <c r="A40" t="s">
        <v>163</v>
      </c>
      <c r="B40" t="s">
        <v>171</v>
      </c>
      <c r="C40" t="s">
        <v>160</v>
      </c>
      <c r="D40" t="s">
        <v>165</v>
      </c>
      <c r="E40">
        <v>-15.617800000000001</v>
      </c>
      <c r="F40">
        <v>11.8817</v>
      </c>
      <c r="G40">
        <v>2010</v>
      </c>
      <c r="H40">
        <v>2010</v>
      </c>
      <c r="I40" t="s">
        <v>72</v>
      </c>
      <c r="J40">
        <v>38</v>
      </c>
      <c r="K40">
        <v>296</v>
      </c>
      <c r="L40">
        <v>25421474</v>
      </c>
      <c r="M40" t="s">
        <v>332</v>
      </c>
    </row>
    <row r="41" spans="1:13" x14ac:dyDescent="0.2">
      <c r="A41" t="s">
        <v>163</v>
      </c>
      <c r="B41" t="s">
        <v>171</v>
      </c>
      <c r="C41" t="s">
        <v>160</v>
      </c>
      <c r="D41" t="s">
        <v>165</v>
      </c>
      <c r="E41">
        <v>-15.617800000000001</v>
      </c>
      <c r="F41">
        <v>11.8817</v>
      </c>
      <c r="G41">
        <v>2010</v>
      </c>
      <c r="H41">
        <v>2010</v>
      </c>
      <c r="I41" t="s">
        <v>76</v>
      </c>
      <c r="J41">
        <v>208</v>
      </c>
      <c r="K41">
        <v>297</v>
      </c>
      <c r="L41">
        <v>25421474</v>
      </c>
      <c r="M41" t="s">
        <v>332</v>
      </c>
    </row>
    <row r="42" spans="1:13" x14ac:dyDescent="0.2">
      <c r="A42" t="s">
        <v>163</v>
      </c>
      <c r="B42" t="s">
        <v>171</v>
      </c>
      <c r="C42" t="s">
        <v>160</v>
      </c>
      <c r="D42" t="s">
        <v>165</v>
      </c>
      <c r="E42">
        <v>-15.617800000000001</v>
      </c>
      <c r="F42">
        <v>11.8817</v>
      </c>
      <c r="G42">
        <v>2010</v>
      </c>
      <c r="H42">
        <v>2010</v>
      </c>
      <c r="I42" t="s">
        <v>74</v>
      </c>
      <c r="J42">
        <v>65</v>
      </c>
      <c r="K42">
        <v>297</v>
      </c>
      <c r="L42">
        <v>25421474</v>
      </c>
      <c r="M42" t="s">
        <v>332</v>
      </c>
    </row>
    <row r="43" spans="1:13" x14ac:dyDescent="0.2">
      <c r="A43" t="s">
        <v>163</v>
      </c>
      <c r="B43" t="s">
        <v>171</v>
      </c>
      <c r="C43" t="s">
        <v>160</v>
      </c>
      <c r="D43" t="s">
        <v>165</v>
      </c>
      <c r="E43">
        <v>-15.617800000000001</v>
      </c>
      <c r="F43">
        <v>11.8817</v>
      </c>
      <c r="G43">
        <v>2010</v>
      </c>
      <c r="H43">
        <v>2010</v>
      </c>
      <c r="I43" t="s">
        <v>75</v>
      </c>
      <c r="J43">
        <v>24</v>
      </c>
      <c r="K43">
        <v>297</v>
      </c>
      <c r="L43">
        <v>25421474</v>
      </c>
      <c r="M43" t="s">
        <v>332</v>
      </c>
    </row>
    <row r="44" spans="1:13" x14ac:dyDescent="0.2">
      <c r="A44" t="s">
        <v>163</v>
      </c>
      <c r="B44" t="s">
        <v>172</v>
      </c>
      <c r="C44" t="s">
        <v>160</v>
      </c>
      <c r="D44" t="s">
        <v>165</v>
      </c>
      <c r="E44">
        <v>-15.617800000000001</v>
      </c>
      <c r="F44">
        <v>11.8817</v>
      </c>
      <c r="G44">
        <v>2011</v>
      </c>
      <c r="H44">
        <v>2011</v>
      </c>
      <c r="I44" t="s">
        <v>73</v>
      </c>
      <c r="J44">
        <v>150</v>
      </c>
      <c r="K44">
        <v>345</v>
      </c>
      <c r="L44">
        <v>25421474</v>
      </c>
      <c r="M44" t="s">
        <v>332</v>
      </c>
    </row>
    <row r="45" spans="1:13" x14ac:dyDescent="0.2">
      <c r="A45" t="s">
        <v>163</v>
      </c>
      <c r="B45" t="s">
        <v>172</v>
      </c>
      <c r="C45" t="s">
        <v>160</v>
      </c>
      <c r="D45" t="s">
        <v>165</v>
      </c>
      <c r="E45">
        <v>-15.617800000000001</v>
      </c>
      <c r="F45">
        <v>11.8817</v>
      </c>
      <c r="G45">
        <v>2011</v>
      </c>
      <c r="H45">
        <v>2011</v>
      </c>
      <c r="I45" t="s">
        <v>71</v>
      </c>
      <c r="J45">
        <v>121</v>
      </c>
      <c r="K45">
        <v>345</v>
      </c>
      <c r="L45">
        <v>25421474</v>
      </c>
      <c r="M45" t="s">
        <v>332</v>
      </c>
    </row>
    <row r="46" spans="1:13" x14ac:dyDescent="0.2">
      <c r="A46" t="s">
        <v>163</v>
      </c>
      <c r="B46" t="s">
        <v>172</v>
      </c>
      <c r="C46" t="s">
        <v>160</v>
      </c>
      <c r="D46" t="s">
        <v>165</v>
      </c>
      <c r="E46">
        <v>-15.617800000000001</v>
      </c>
      <c r="F46">
        <v>11.8817</v>
      </c>
      <c r="G46">
        <v>2011</v>
      </c>
      <c r="H46">
        <v>2011</v>
      </c>
      <c r="I46" t="s">
        <v>72</v>
      </c>
      <c r="J46">
        <v>74</v>
      </c>
      <c r="K46">
        <v>345</v>
      </c>
      <c r="L46">
        <v>25421474</v>
      </c>
      <c r="M46" t="s">
        <v>332</v>
      </c>
    </row>
    <row r="47" spans="1:13" x14ac:dyDescent="0.2">
      <c r="A47" t="s">
        <v>163</v>
      </c>
      <c r="B47" t="s">
        <v>172</v>
      </c>
      <c r="C47" t="s">
        <v>160</v>
      </c>
      <c r="D47" t="s">
        <v>165</v>
      </c>
      <c r="E47">
        <v>-15.617800000000001</v>
      </c>
      <c r="F47">
        <v>11.8817</v>
      </c>
      <c r="G47">
        <v>2011</v>
      </c>
      <c r="H47">
        <v>2011</v>
      </c>
      <c r="I47" t="s">
        <v>76</v>
      </c>
      <c r="J47">
        <v>229</v>
      </c>
      <c r="K47">
        <v>322</v>
      </c>
      <c r="L47">
        <v>25421474</v>
      </c>
      <c r="M47" t="s">
        <v>332</v>
      </c>
    </row>
    <row r="48" spans="1:13" x14ac:dyDescent="0.2">
      <c r="A48" t="s">
        <v>163</v>
      </c>
      <c r="B48" t="s">
        <v>172</v>
      </c>
      <c r="C48" t="s">
        <v>160</v>
      </c>
      <c r="D48" t="s">
        <v>165</v>
      </c>
      <c r="E48">
        <v>-15.617800000000001</v>
      </c>
      <c r="F48">
        <v>11.8817</v>
      </c>
      <c r="G48">
        <v>2011</v>
      </c>
      <c r="H48">
        <v>2011</v>
      </c>
      <c r="I48" t="s">
        <v>74</v>
      </c>
      <c r="J48">
        <v>73</v>
      </c>
      <c r="K48">
        <v>322</v>
      </c>
      <c r="L48">
        <v>25421474</v>
      </c>
      <c r="M48" t="s">
        <v>332</v>
      </c>
    </row>
    <row r="49" spans="1:13" x14ac:dyDescent="0.2">
      <c r="A49" t="s">
        <v>163</v>
      </c>
      <c r="B49" t="s">
        <v>172</v>
      </c>
      <c r="C49" t="s">
        <v>160</v>
      </c>
      <c r="D49" t="s">
        <v>165</v>
      </c>
      <c r="E49">
        <v>-15.617800000000001</v>
      </c>
      <c r="F49">
        <v>11.8817</v>
      </c>
      <c r="G49">
        <v>2011</v>
      </c>
      <c r="H49">
        <v>2011</v>
      </c>
      <c r="I49" t="s">
        <v>75</v>
      </c>
      <c r="J49">
        <v>20</v>
      </c>
      <c r="K49">
        <v>322</v>
      </c>
      <c r="L49">
        <v>25421474</v>
      </c>
      <c r="M49" t="s">
        <v>332</v>
      </c>
    </row>
    <row r="50" spans="1:13" x14ac:dyDescent="0.2">
      <c r="A50" t="s">
        <v>163</v>
      </c>
      <c r="B50" t="s">
        <v>173</v>
      </c>
      <c r="C50" t="s">
        <v>160</v>
      </c>
      <c r="D50" t="s">
        <v>165</v>
      </c>
      <c r="E50">
        <v>-15.617800000000001</v>
      </c>
      <c r="F50">
        <v>11.8817</v>
      </c>
      <c r="G50">
        <v>2012</v>
      </c>
      <c r="H50">
        <v>2012</v>
      </c>
      <c r="I50" t="s">
        <v>73</v>
      </c>
      <c r="J50">
        <v>80</v>
      </c>
      <c r="K50">
        <v>121</v>
      </c>
      <c r="L50">
        <v>25421474</v>
      </c>
      <c r="M50" t="s">
        <v>332</v>
      </c>
    </row>
    <row r="51" spans="1:13" x14ac:dyDescent="0.2">
      <c r="A51" t="s">
        <v>163</v>
      </c>
      <c r="B51" t="s">
        <v>173</v>
      </c>
      <c r="C51" t="s">
        <v>160</v>
      </c>
      <c r="D51" t="s">
        <v>165</v>
      </c>
      <c r="E51">
        <v>-15.617800000000001</v>
      </c>
      <c r="F51">
        <v>11.8817</v>
      </c>
      <c r="G51">
        <v>2012</v>
      </c>
      <c r="H51">
        <v>2012</v>
      </c>
      <c r="I51" t="s">
        <v>71</v>
      </c>
      <c r="J51">
        <v>35</v>
      </c>
      <c r="K51">
        <v>121</v>
      </c>
      <c r="L51">
        <v>25421474</v>
      </c>
      <c r="M51" t="s">
        <v>332</v>
      </c>
    </row>
    <row r="52" spans="1:13" x14ac:dyDescent="0.2">
      <c r="A52" t="s">
        <v>163</v>
      </c>
      <c r="B52" t="s">
        <v>173</v>
      </c>
      <c r="C52" t="s">
        <v>160</v>
      </c>
      <c r="D52" t="s">
        <v>165</v>
      </c>
      <c r="E52">
        <v>-15.617800000000001</v>
      </c>
      <c r="F52">
        <v>11.8817</v>
      </c>
      <c r="G52">
        <v>2012</v>
      </c>
      <c r="H52">
        <v>2012</v>
      </c>
      <c r="I52" t="s">
        <v>72</v>
      </c>
      <c r="J52">
        <v>6</v>
      </c>
      <c r="K52">
        <v>121</v>
      </c>
      <c r="L52">
        <v>25421474</v>
      </c>
      <c r="M52" t="s">
        <v>332</v>
      </c>
    </row>
    <row r="53" spans="1:13" x14ac:dyDescent="0.2">
      <c r="A53" t="s">
        <v>163</v>
      </c>
      <c r="B53" t="s">
        <v>173</v>
      </c>
      <c r="C53" t="s">
        <v>160</v>
      </c>
      <c r="D53" t="s">
        <v>165</v>
      </c>
      <c r="E53">
        <v>-15.617800000000001</v>
      </c>
      <c r="F53">
        <v>11.8817</v>
      </c>
      <c r="G53">
        <v>2012</v>
      </c>
      <c r="H53">
        <v>2012</v>
      </c>
      <c r="I53" t="s">
        <v>76</v>
      </c>
      <c r="J53">
        <v>83</v>
      </c>
      <c r="K53">
        <v>126</v>
      </c>
      <c r="L53">
        <v>25421474</v>
      </c>
      <c r="M53" t="s">
        <v>332</v>
      </c>
    </row>
    <row r="54" spans="1:13" x14ac:dyDescent="0.2">
      <c r="A54" t="s">
        <v>163</v>
      </c>
      <c r="B54" t="s">
        <v>173</v>
      </c>
      <c r="C54" t="s">
        <v>160</v>
      </c>
      <c r="D54" t="s">
        <v>165</v>
      </c>
      <c r="E54">
        <v>-15.617800000000001</v>
      </c>
      <c r="F54">
        <v>11.8817</v>
      </c>
      <c r="G54">
        <v>2012</v>
      </c>
      <c r="H54">
        <v>2012</v>
      </c>
      <c r="I54" t="s">
        <v>74</v>
      </c>
      <c r="J54">
        <v>21</v>
      </c>
      <c r="K54">
        <v>126</v>
      </c>
      <c r="L54">
        <v>25421474</v>
      </c>
      <c r="M54" t="s">
        <v>332</v>
      </c>
    </row>
    <row r="55" spans="1:13" x14ac:dyDescent="0.2">
      <c r="A55" t="s">
        <v>163</v>
      </c>
      <c r="B55" t="s">
        <v>173</v>
      </c>
      <c r="C55" t="s">
        <v>160</v>
      </c>
      <c r="D55" t="s">
        <v>165</v>
      </c>
      <c r="E55">
        <v>-15.617800000000001</v>
      </c>
      <c r="F55">
        <v>11.8817</v>
      </c>
      <c r="G55">
        <v>2012</v>
      </c>
      <c r="H55">
        <v>2012</v>
      </c>
      <c r="I55" t="s">
        <v>75</v>
      </c>
      <c r="J55">
        <v>22</v>
      </c>
      <c r="K55">
        <v>126</v>
      </c>
      <c r="L55">
        <v>25421474</v>
      </c>
      <c r="M55" t="s">
        <v>332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F51B-2F93-DD47-93CA-4BF4C2B5B35C}">
  <dimension ref="A1:M49"/>
  <sheetViews>
    <sheetView workbookViewId="0">
      <selection activeCell="B5" sqref="B5"/>
    </sheetView>
  </sheetViews>
  <sheetFormatPr baseColWidth="10" defaultRowHeight="16" x14ac:dyDescent="0.2"/>
  <cols>
    <col min="1" max="1" width="17" bestFit="1" customWidth="1"/>
    <col min="2" max="2" width="28" bestFit="1" customWidth="1"/>
  </cols>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261</v>
      </c>
      <c r="B2" t="s">
        <v>264</v>
      </c>
      <c r="C2" t="s">
        <v>15</v>
      </c>
      <c r="D2" t="s">
        <v>16</v>
      </c>
      <c r="E2">
        <v>34.181100000000001</v>
      </c>
      <c r="F2">
        <v>0.692778</v>
      </c>
      <c r="G2">
        <v>2003</v>
      </c>
      <c r="H2">
        <v>2004</v>
      </c>
      <c r="I2" t="s">
        <v>76</v>
      </c>
      <c r="J2">
        <v>20</v>
      </c>
      <c r="K2">
        <v>192</v>
      </c>
      <c r="L2">
        <v>24799371</v>
      </c>
      <c r="M2" t="s">
        <v>333</v>
      </c>
    </row>
    <row r="3" spans="1:13" x14ac:dyDescent="0.2">
      <c r="A3" t="s">
        <v>261</v>
      </c>
      <c r="B3" t="s">
        <v>264</v>
      </c>
      <c r="C3" t="s">
        <v>15</v>
      </c>
      <c r="D3" t="s">
        <v>16</v>
      </c>
      <c r="E3">
        <v>34.181100000000001</v>
      </c>
      <c r="F3">
        <v>0.692778</v>
      </c>
      <c r="G3">
        <v>2003</v>
      </c>
      <c r="H3">
        <v>2004</v>
      </c>
      <c r="I3" t="s">
        <v>74</v>
      </c>
      <c r="J3">
        <v>36</v>
      </c>
      <c r="K3">
        <v>192</v>
      </c>
      <c r="L3">
        <v>24799371</v>
      </c>
      <c r="M3" t="s">
        <v>333</v>
      </c>
    </row>
    <row r="4" spans="1:13" x14ac:dyDescent="0.2">
      <c r="A4" t="s">
        <v>261</v>
      </c>
      <c r="B4" t="s">
        <v>264</v>
      </c>
      <c r="C4" t="s">
        <v>15</v>
      </c>
      <c r="D4" t="s">
        <v>16</v>
      </c>
      <c r="E4">
        <v>34.181100000000001</v>
      </c>
      <c r="F4">
        <v>0.692778</v>
      </c>
      <c r="G4">
        <v>2003</v>
      </c>
      <c r="H4">
        <v>2004</v>
      </c>
      <c r="I4" t="s">
        <v>75</v>
      </c>
      <c r="J4">
        <v>136</v>
      </c>
      <c r="K4">
        <v>192</v>
      </c>
      <c r="L4">
        <v>24799371</v>
      </c>
      <c r="M4" t="s">
        <v>333</v>
      </c>
    </row>
    <row r="5" spans="1:13" x14ac:dyDescent="0.2">
      <c r="A5" t="s">
        <v>261</v>
      </c>
      <c r="B5" t="s">
        <v>368</v>
      </c>
      <c r="C5" t="s">
        <v>15</v>
      </c>
      <c r="D5" t="s">
        <v>16</v>
      </c>
      <c r="E5">
        <v>34.181100000000001</v>
      </c>
      <c r="F5">
        <v>0.692778</v>
      </c>
      <c r="G5">
        <v>2005</v>
      </c>
      <c r="H5">
        <f>G5</f>
        <v>2005</v>
      </c>
      <c r="I5" t="s">
        <v>76</v>
      </c>
      <c r="J5">
        <v>19</v>
      </c>
      <c r="K5">
        <v>201</v>
      </c>
      <c r="L5">
        <v>24799371</v>
      </c>
      <c r="M5" t="s">
        <v>333</v>
      </c>
    </row>
    <row r="6" spans="1:13" x14ac:dyDescent="0.2">
      <c r="A6" t="s">
        <v>261</v>
      </c>
      <c r="B6" t="s">
        <v>368</v>
      </c>
      <c r="C6" t="s">
        <v>15</v>
      </c>
      <c r="D6" t="s">
        <v>16</v>
      </c>
      <c r="E6">
        <v>34.181100000000001</v>
      </c>
      <c r="F6">
        <v>0.692778</v>
      </c>
      <c r="G6">
        <v>2005</v>
      </c>
      <c r="H6">
        <f t="shared" ref="H6:H25" si="0">G6</f>
        <v>2005</v>
      </c>
      <c r="I6" t="s">
        <v>74</v>
      </c>
      <c r="J6">
        <v>106</v>
      </c>
      <c r="K6">
        <v>201</v>
      </c>
      <c r="L6">
        <v>24799371</v>
      </c>
      <c r="M6" t="s">
        <v>333</v>
      </c>
    </row>
    <row r="7" spans="1:13" x14ac:dyDescent="0.2">
      <c r="A7" t="s">
        <v>261</v>
      </c>
      <c r="B7" t="s">
        <v>368</v>
      </c>
      <c r="C7" t="s">
        <v>15</v>
      </c>
      <c r="D7" t="s">
        <v>16</v>
      </c>
      <c r="E7">
        <v>34.181100000000001</v>
      </c>
      <c r="F7">
        <v>0.692778</v>
      </c>
      <c r="G7">
        <v>2005</v>
      </c>
      <c r="H7">
        <f t="shared" si="0"/>
        <v>2005</v>
      </c>
      <c r="I7" t="s">
        <v>75</v>
      </c>
      <c r="J7">
        <v>76</v>
      </c>
      <c r="K7">
        <v>201</v>
      </c>
      <c r="L7">
        <v>24799371</v>
      </c>
      <c r="M7" t="s">
        <v>333</v>
      </c>
    </row>
    <row r="8" spans="1:13" x14ac:dyDescent="0.2">
      <c r="A8" t="s">
        <v>261</v>
      </c>
      <c r="B8" t="s">
        <v>369</v>
      </c>
      <c r="C8" t="s">
        <v>15</v>
      </c>
      <c r="D8" t="s">
        <v>16</v>
      </c>
      <c r="E8">
        <v>34.181100000000001</v>
      </c>
      <c r="F8">
        <v>0.692778</v>
      </c>
      <c r="G8">
        <v>2007</v>
      </c>
      <c r="H8">
        <f t="shared" si="0"/>
        <v>2007</v>
      </c>
      <c r="I8" t="s">
        <v>76</v>
      </c>
      <c r="J8">
        <v>12</v>
      </c>
      <c r="K8">
        <v>37</v>
      </c>
      <c r="L8">
        <v>24799371</v>
      </c>
      <c r="M8" t="s">
        <v>333</v>
      </c>
    </row>
    <row r="9" spans="1:13" x14ac:dyDescent="0.2">
      <c r="A9" t="s">
        <v>261</v>
      </c>
      <c r="B9" t="s">
        <v>369</v>
      </c>
      <c r="C9" t="s">
        <v>15</v>
      </c>
      <c r="D9" t="s">
        <v>16</v>
      </c>
      <c r="E9">
        <v>34.181100000000001</v>
      </c>
      <c r="F9">
        <v>0.692778</v>
      </c>
      <c r="G9">
        <v>2007</v>
      </c>
      <c r="H9">
        <f t="shared" si="0"/>
        <v>2007</v>
      </c>
      <c r="I9" t="s">
        <v>74</v>
      </c>
      <c r="J9">
        <v>18</v>
      </c>
      <c r="K9">
        <v>37</v>
      </c>
      <c r="L9">
        <v>24799371</v>
      </c>
      <c r="M9" t="s">
        <v>333</v>
      </c>
    </row>
    <row r="10" spans="1:13" x14ac:dyDescent="0.2">
      <c r="A10" t="s">
        <v>261</v>
      </c>
      <c r="B10" t="s">
        <v>369</v>
      </c>
      <c r="C10" t="s">
        <v>15</v>
      </c>
      <c r="D10" t="s">
        <v>16</v>
      </c>
      <c r="E10">
        <v>34.181100000000001</v>
      </c>
      <c r="F10">
        <v>0.692778</v>
      </c>
      <c r="G10">
        <v>2007</v>
      </c>
      <c r="H10">
        <f t="shared" si="0"/>
        <v>2007</v>
      </c>
      <c r="I10" t="s">
        <v>75</v>
      </c>
      <c r="J10">
        <v>7</v>
      </c>
      <c r="K10">
        <v>37</v>
      </c>
      <c r="L10">
        <v>24799371</v>
      </c>
      <c r="M10" t="s">
        <v>333</v>
      </c>
    </row>
    <row r="11" spans="1:13" x14ac:dyDescent="0.2">
      <c r="A11" t="s">
        <v>261</v>
      </c>
      <c r="B11" t="s">
        <v>370</v>
      </c>
      <c r="C11" t="s">
        <v>15</v>
      </c>
      <c r="D11" t="s">
        <v>16</v>
      </c>
      <c r="E11">
        <v>34.181100000000001</v>
      </c>
      <c r="F11">
        <v>0.692778</v>
      </c>
      <c r="G11">
        <v>2008</v>
      </c>
      <c r="H11">
        <f t="shared" si="0"/>
        <v>2008</v>
      </c>
      <c r="I11" t="s">
        <v>76</v>
      </c>
      <c r="J11">
        <v>34</v>
      </c>
      <c r="K11">
        <v>145</v>
      </c>
      <c r="L11">
        <v>24799371</v>
      </c>
      <c r="M11" t="s">
        <v>333</v>
      </c>
    </row>
    <row r="12" spans="1:13" x14ac:dyDescent="0.2">
      <c r="A12" t="s">
        <v>261</v>
      </c>
      <c r="B12" t="s">
        <v>370</v>
      </c>
      <c r="C12" t="s">
        <v>15</v>
      </c>
      <c r="D12" t="s">
        <v>16</v>
      </c>
      <c r="E12">
        <v>34.181100000000001</v>
      </c>
      <c r="F12">
        <v>0.692778</v>
      </c>
      <c r="G12">
        <v>2008</v>
      </c>
      <c r="H12">
        <f t="shared" si="0"/>
        <v>2008</v>
      </c>
      <c r="I12" t="s">
        <v>74</v>
      </c>
      <c r="J12">
        <v>23</v>
      </c>
      <c r="K12">
        <v>145</v>
      </c>
      <c r="L12">
        <v>24799371</v>
      </c>
      <c r="M12" t="s">
        <v>333</v>
      </c>
    </row>
    <row r="13" spans="1:13" x14ac:dyDescent="0.2">
      <c r="A13" t="s">
        <v>261</v>
      </c>
      <c r="B13" t="s">
        <v>370</v>
      </c>
      <c r="C13" t="s">
        <v>15</v>
      </c>
      <c r="D13" t="s">
        <v>16</v>
      </c>
      <c r="E13">
        <v>34.181100000000001</v>
      </c>
      <c r="F13">
        <v>0.692778</v>
      </c>
      <c r="G13">
        <v>2008</v>
      </c>
      <c r="H13">
        <f t="shared" si="0"/>
        <v>2008</v>
      </c>
      <c r="I13" t="s">
        <v>75</v>
      </c>
      <c r="J13">
        <v>88</v>
      </c>
      <c r="K13">
        <v>145</v>
      </c>
      <c r="L13">
        <v>24799371</v>
      </c>
      <c r="M13" t="s">
        <v>333</v>
      </c>
    </row>
    <row r="14" spans="1:13" x14ac:dyDescent="0.2">
      <c r="A14" t="s">
        <v>261</v>
      </c>
      <c r="B14" t="s">
        <v>371</v>
      </c>
      <c r="C14" t="s">
        <v>15</v>
      </c>
      <c r="D14" t="s">
        <v>16</v>
      </c>
      <c r="E14">
        <v>34.181100000000001</v>
      </c>
      <c r="F14">
        <v>0.692778</v>
      </c>
      <c r="G14">
        <v>2009</v>
      </c>
      <c r="H14">
        <f t="shared" si="0"/>
        <v>2009</v>
      </c>
      <c r="I14" t="s">
        <v>76</v>
      </c>
      <c r="J14">
        <v>23</v>
      </c>
      <c r="K14">
        <v>89</v>
      </c>
      <c r="L14">
        <v>24799371</v>
      </c>
      <c r="M14" t="s">
        <v>333</v>
      </c>
    </row>
    <row r="15" spans="1:13" x14ac:dyDescent="0.2">
      <c r="A15" t="s">
        <v>261</v>
      </c>
      <c r="B15" t="s">
        <v>371</v>
      </c>
      <c r="C15" t="s">
        <v>15</v>
      </c>
      <c r="D15" t="s">
        <v>16</v>
      </c>
      <c r="E15">
        <v>34.181100000000001</v>
      </c>
      <c r="F15">
        <v>0.692778</v>
      </c>
      <c r="G15">
        <v>2009</v>
      </c>
      <c r="H15">
        <f t="shared" si="0"/>
        <v>2009</v>
      </c>
      <c r="I15" t="s">
        <v>74</v>
      </c>
      <c r="J15">
        <v>39</v>
      </c>
      <c r="K15">
        <v>89</v>
      </c>
      <c r="L15">
        <v>24799371</v>
      </c>
      <c r="M15" t="s">
        <v>333</v>
      </c>
    </row>
    <row r="16" spans="1:13" x14ac:dyDescent="0.2">
      <c r="A16" t="s">
        <v>261</v>
      </c>
      <c r="B16" t="s">
        <v>371</v>
      </c>
      <c r="C16" t="s">
        <v>15</v>
      </c>
      <c r="D16" t="s">
        <v>16</v>
      </c>
      <c r="E16">
        <v>34.181100000000001</v>
      </c>
      <c r="F16">
        <v>0.692778</v>
      </c>
      <c r="G16">
        <v>2009</v>
      </c>
      <c r="H16">
        <f t="shared" si="0"/>
        <v>2009</v>
      </c>
      <c r="I16" t="s">
        <v>75</v>
      </c>
      <c r="J16">
        <v>27</v>
      </c>
      <c r="K16">
        <v>89</v>
      </c>
      <c r="L16">
        <v>24799371</v>
      </c>
      <c r="M16" t="s">
        <v>333</v>
      </c>
    </row>
    <row r="17" spans="1:13" x14ac:dyDescent="0.2">
      <c r="A17" t="s">
        <v>261</v>
      </c>
      <c r="B17" t="s">
        <v>372</v>
      </c>
      <c r="C17" t="s">
        <v>15</v>
      </c>
      <c r="D17" t="s">
        <v>16</v>
      </c>
      <c r="E17">
        <v>34.181100000000001</v>
      </c>
      <c r="F17">
        <v>0.692778</v>
      </c>
      <c r="G17">
        <v>2010</v>
      </c>
      <c r="H17">
        <f t="shared" si="0"/>
        <v>2010</v>
      </c>
      <c r="I17" t="s">
        <v>76</v>
      </c>
      <c r="J17">
        <v>48</v>
      </c>
      <c r="K17">
        <v>110</v>
      </c>
      <c r="L17">
        <v>24799371</v>
      </c>
      <c r="M17" t="s">
        <v>333</v>
      </c>
    </row>
    <row r="18" spans="1:13" x14ac:dyDescent="0.2">
      <c r="A18" t="s">
        <v>261</v>
      </c>
      <c r="B18" t="s">
        <v>372</v>
      </c>
      <c r="C18" t="s">
        <v>15</v>
      </c>
      <c r="D18" t="s">
        <v>16</v>
      </c>
      <c r="E18">
        <v>34.181100000000001</v>
      </c>
      <c r="F18">
        <v>0.692778</v>
      </c>
      <c r="G18">
        <v>2010</v>
      </c>
      <c r="H18">
        <f t="shared" si="0"/>
        <v>2010</v>
      </c>
      <c r="I18" t="s">
        <v>74</v>
      </c>
      <c r="J18">
        <v>21</v>
      </c>
      <c r="K18">
        <v>110</v>
      </c>
      <c r="L18">
        <v>24799371</v>
      </c>
      <c r="M18" t="s">
        <v>333</v>
      </c>
    </row>
    <row r="19" spans="1:13" x14ac:dyDescent="0.2">
      <c r="A19" t="s">
        <v>261</v>
      </c>
      <c r="B19" t="s">
        <v>372</v>
      </c>
      <c r="C19" t="s">
        <v>15</v>
      </c>
      <c r="D19" t="s">
        <v>16</v>
      </c>
      <c r="E19">
        <v>34.181100000000001</v>
      </c>
      <c r="F19">
        <v>0.692778</v>
      </c>
      <c r="G19">
        <v>2010</v>
      </c>
      <c r="H19">
        <f t="shared" si="0"/>
        <v>2010</v>
      </c>
      <c r="I19" t="s">
        <v>75</v>
      </c>
      <c r="J19">
        <v>41</v>
      </c>
      <c r="K19">
        <v>110</v>
      </c>
      <c r="L19">
        <v>24799371</v>
      </c>
      <c r="M19" t="s">
        <v>333</v>
      </c>
    </row>
    <row r="20" spans="1:13" x14ac:dyDescent="0.2">
      <c r="A20" t="s">
        <v>261</v>
      </c>
      <c r="B20" t="s">
        <v>373</v>
      </c>
      <c r="C20" t="s">
        <v>15</v>
      </c>
      <c r="D20" t="s">
        <v>16</v>
      </c>
      <c r="E20">
        <v>34.181100000000001</v>
      </c>
      <c r="F20">
        <v>0.692778</v>
      </c>
      <c r="G20">
        <v>2011</v>
      </c>
      <c r="H20">
        <f t="shared" si="0"/>
        <v>2011</v>
      </c>
      <c r="I20" t="s">
        <v>76</v>
      </c>
      <c r="J20">
        <v>52</v>
      </c>
      <c r="K20">
        <v>111</v>
      </c>
      <c r="L20">
        <v>24799371</v>
      </c>
      <c r="M20" t="s">
        <v>333</v>
      </c>
    </row>
    <row r="21" spans="1:13" x14ac:dyDescent="0.2">
      <c r="A21" t="s">
        <v>261</v>
      </c>
      <c r="B21" t="s">
        <v>373</v>
      </c>
      <c r="C21" t="s">
        <v>15</v>
      </c>
      <c r="D21" t="s">
        <v>16</v>
      </c>
      <c r="E21">
        <v>34.181100000000001</v>
      </c>
      <c r="F21">
        <v>0.692778</v>
      </c>
      <c r="G21">
        <v>2011</v>
      </c>
      <c r="H21">
        <f t="shared" si="0"/>
        <v>2011</v>
      </c>
      <c r="I21" t="s">
        <v>74</v>
      </c>
      <c r="J21">
        <v>18</v>
      </c>
      <c r="K21">
        <v>111</v>
      </c>
      <c r="L21">
        <v>24799371</v>
      </c>
      <c r="M21" t="s">
        <v>333</v>
      </c>
    </row>
    <row r="22" spans="1:13" x14ac:dyDescent="0.2">
      <c r="A22" t="s">
        <v>261</v>
      </c>
      <c r="B22" t="s">
        <v>373</v>
      </c>
      <c r="C22" t="s">
        <v>15</v>
      </c>
      <c r="D22" t="s">
        <v>16</v>
      </c>
      <c r="E22">
        <v>34.181100000000001</v>
      </c>
      <c r="F22">
        <v>0.692778</v>
      </c>
      <c r="G22">
        <v>2011</v>
      </c>
      <c r="H22">
        <f t="shared" si="0"/>
        <v>2011</v>
      </c>
      <c r="I22" t="s">
        <v>75</v>
      </c>
      <c r="J22">
        <v>41</v>
      </c>
      <c r="K22">
        <v>111</v>
      </c>
      <c r="L22">
        <v>24799371</v>
      </c>
      <c r="M22" t="s">
        <v>333</v>
      </c>
    </row>
    <row r="23" spans="1:13" x14ac:dyDescent="0.2">
      <c r="A23" t="s">
        <v>261</v>
      </c>
      <c r="B23" t="s">
        <v>374</v>
      </c>
      <c r="C23" t="s">
        <v>15</v>
      </c>
      <c r="D23" t="s">
        <v>16</v>
      </c>
      <c r="E23">
        <v>34.181100000000001</v>
      </c>
      <c r="F23">
        <v>0.692778</v>
      </c>
      <c r="G23">
        <v>2012</v>
      </c>
      <c r="H23">
        <f t="shared" si="0"/>
        <v>2012</v>
      </c>
      <c r="I23" t="s">
        <v>76</v>
      </c>
      <c r="J23">
        <v>40</v>
      </c>
      <c r="K23">
        <v>78</v>
      </c>
      <c r="L23">
        <v>24799371</v>
      </c>
      <c r="M23" t="s">
        <v>333</v>
      </c>
    </row>
    <row r="24" spans="1:13" x14ac:dyDescent="0.2">
      <c r="A24" t="s">
        <v>261</v>
      </c>
      <c r="B24" t="s">
        <v>374</v>
      </c>
      <c r="C24" t="s">
        <v>15</v>
      </c>
      <c r="D24" t="s">
        <v>16</v>
      </c>
      <c r="E24">
        <v>34.181100000000001</v>
      </c>
      <c r="F24">
        <v>0.692778</v>
      </c>
      <c r="G24">
        <v>2012</v>
      </c>
      <c r="H24">
        <f t="shared" si="0"/>
        <v>2012</v>
      </c>
      <c r="I24" t="s">
        <v>74</v>
      </c>
      <c r="J24">
        <v>6</v>
      </c>
      <c r="K24">
        <v>78</v>
      </c>
      <c r="L24">
        <v>24799371</v>
      </c>
      <c r="M24" t="s">
        <v>333</v>
      </c>
    </row>
    <row r="25" spans="1:13" x14ac:dyDescent="0.2">
      <c r="A25" t="s">
        <v>261</v>
      </c>
      <c r="B25" t="s">
        <v>374</v>
      </c>
      <c r="C25" t="s">
        <v>15</v>
      </c>
      <c r="D25" t="s">
        <v>16</v>
      </c>
      <c r="E25">
        <v>34.181100000000001</v>
      </c>
      <c r="F25">
        <v>0.692778</v>
      </c>
      <c r="G25">
        <v>2012</v>
      </c>
      <c r="H25">
        <f t="shared" si="0"/>
        <v>2012</v>
      </c>
      <c r="I25" t="s">
        <v>75</v>
      </c>
      <c r="J25">
        <v>32</v>
      </c>
      <c r="K25">
        <v>78</v>
      </c>
      <c r="L25">
        <v>24799371</v>
      </c>
      <c r="M25" t="s">
        <v>333</v>
      </c>
    </row>
    <row r="26" spans="1:13" x14ac:dyDescent="0.2">
      <c r="A26" t="s">
        <v>261</v>
      </c>
      <c r="B26" t="s">
        <v>264</v>
      </c>
      <c r="C26" t="s">
        <v>15</v>
      </c>
      <c r="D26" t="s">
        <v>16</v>
      </c>
      <c r="E26">
        <v>34.181100000000001</v>
      </c>
      <c r="F26">
        <v>0.692778</v>
      </c>
      <c r="G26">
        <v>2003</v>
      </c>
      <c r="H26">
        <v>2004</v>
      </c>
      <c r="I26" t="s">
        <v>73</v>
      </c>
      <c r="J26">
        <v>0</v>
      </c>
      <c r="K26">
        <v>80</v>
      </c>
      <c r="L26">
        <v>24799371</v>
      </c>
      <c r="M26" t="s">
        <v>333</v>
      </c>
    </row>
    <row r="27" spans="1:13" x14ac:dyDescent="0.2">
      <c r="A27" t="s">
        <v>261</v>
      </c>
      <c r="B27" t="s">
        <v>264</v>
      </c>
      <c r="C27" t="s">
        <v>15</v>
      </c>
      <c r="D27" t="s">
        <v>16</v>
      </c>
      <c r="E27">
        <v>34.181100000000001</v>
      </c>
      <c r="F27">
        <v>0.692778</v>
      </c>
      <c r="G27">
        <v>2003</v>
      </c>
      <c r="H27">
        <v>2004</v>
      </c>
      <c r="I27" t="s">
        <v>71</v>
      </c>
      <c r="J27">
        <v>79</v>
      </c>
      <c r="K27">
        <v>80</v>
      </c>
      <c r="L27">
        <v>24799371</v>
      </c>
      <c r="M27" t="s">
        <v>333</v>
      </c>
    </row>
    <row r="28" spans="1:13" x14ac:dyDescent="0.2">
      <c r="A28" t="s">
        <v>261</v>
      </c>
      <c r="B28" t="s">
        <v>264</v>
      </c>
      <c r="C28" t="s">
        <v>15</v>
      </c>
      <c r="D28" t="s">
        <v>16</v>
      </c>
      <c r="E28">
        <v>34.181100000000001</v>
      </c>
      <c r="F28">
        <v>0.692778</v>
      </c>
      <c r="G28">
        <v>2003</v>
      </c>
      <c r="H28">
        <v>2004</v>
      </c>
      <c r="I28" t="s">
        <v>72</v>
      </c>
      <c r="J28">
        <v>1</v>
      </c>
      <c r="K28">
        <v>80</v>
      </c>
      <c r="L28">
        <v>24799371</v>
      </c>
      <c r="M28" t="s">
        <v>333</v>
      </c>
    </row>
    <row r="29" spans="1:13" x14ac:dyDescent="0.2">
      <c r="A29" t="s">
        <v>261</v>
      </c>
      <c r="B29" t="s">
        <v>368</v>
      </c>
      <c r="C29" t="s">
        <v>15</v>
      </c>
      <c r="D29" t="s">
        <v>16</v>
      </c>
      <c r="E29">
        <v>34.181100000000001</v>
      </c>
      <c r="F29">
        <v>0.692778</v>
      </c>
      <c r="G29">
        <v>2005</v>
      </c>
      <c r="H29">
        <f>G29</f>
        <v>2005</v>
      </c>
      <c r="I29" t="s">
        <v>73</v>
      </c>
      <c r="J29">
        <v>0</v>
      </c>
      <c r="K29">
        <v>201</v>
      </c>
      <c r="L29">
        <v>24799371</v>
      </c>
      <c r="M29" t="s">
        <v>333</v>
      </c>
    </row>
    <row r="30" spans="1:13" x14ac:dyDescent="0.2">
      <c r="A30" t="s">
        <v>261</v>
      </c>
      <c r="B30" t="s">
        <v>368</v>
      </c>
      <c r="C30" t="s">
        <v>15</v>
      </c>
      <c r="D30" t="s">
        <v>16</v>
      </c>
      <c r="E30">
        <v>34.181100000000001</v>
      </c>
      <c r="F30">
        <v>0.692778</v>
      </c>
      <c r="G30">
        <v>2005</v>
      </c>
      <c r="H30">
        <f t="shared" ref="H30:H49" si="1">G30</f>
        <v>2005</v>
      </c>
      <c r="I30" t="s">
        <v>71</v>
      </c>
      <c r="J30">
        <v>201</v>
      </c>
      <c r="K30">
        <v>201</v>
      </c>
      <c r="L30">
        <v>24799371</v>
      </c>
      <c r="M30" t="s">
        <v>333</v>
      </c>
    </row>
    <row r="31" spans="1:13" x14ac:dyDescent="0.2">
      <c r="A31" t="s">
        <v>261</v>
      </c>
      <c r="B31" t="s">
        <v>368</v>
      </c>
      <c r="C31" t="s">
        <v>15</v>
      </c>
      <c r="D31" t="s">
        <v>16</v>
      </c>
      <c r="E31">
        <v>34.181100000000001</v>
      </c>
      <c r="F31">
        <v>0.692778</v>
      </c>
      <c r="G31">
        <v>2005</v>
      </c>
      <c r="H31">
        <f t="shared" si="1"/>
        <v>2005</v>
      </c>
      <c r="I31" t="s">
        <v>72</v>
      </c>
      <c r="J31">
        <v>0</v>
      </c>
      <c r="K31">
        <v>201</v>
      </c>
      <c r="L31">
        <v>24799371</v>
      </c>
      <c r="M31" t="s">
        <v>333</v>
      </c>
    </row>
    <row r="32" spans="1:13" x14ac:dyDescent="0.2">
      <c r="A32" t="s">
        <v>261</v>
      </c>
      <c r="B32" t="s">
        <v>369</v>
      </c>
      <c r="C32" t="s">
        <v>15</v>
      </c>
      <c r="D32" t="s">
        <v>16</v>
      </c>
      <c r="E32">
        <v>34.181100000000001</v>
      </c>
      <c r="F32">
        <v>0.692778</v>
      </c>
      <c r="G32">
        <v>2007</v>
      </c>
      <c r="H32">
        <f t="shared" si="1"/>
        <v>2007</v>
      </c>
      <c r="I32" t="s">
        <v>73</v>
      </c>
      <c r="J32">
        <v>0</v>
      </c>
      <c r="K32">
        <v>38</v>
      </c>
      <c r="L32">
        <v>24799371</v>
      </c>
      <c r="M32" t="s">
        <v>333</v>
      </c>
    </row>
    <row r="33" spans="1:13" x14ac:dyDescent="0.2">
      <c r="A33" t="s">
        <v>261</v>
      </c>
      <c r="B33" t="s">
        <v>369</v>
      </c>
      <c r="C33" t="s">
        <v>15</v>
      </c>
      <c r="D33" t="s">
        <v>16</v>
      </c>
      <c r="E33">
        <v>34.181100000000001</v>
      </c>
      <c r="F33">
        <v>0.692778</v>
      </c>
      <c r="G33">
        <v>2007</v>
      </c>
      <c r="H33">
        <f t="shared" si="1"/>
        <v>2007</v>
      </c>
      <c r="I33" t="s">
        <v>71</v>
      </c>
      <c r="J33">
        <v>38</v>
      </c>
      <c r="K33">
        <v>38</v>
      </c>
      <c r="L33">
        <v>24799371</v>
      </c>
      <c r="M33" t="s">
        <v>333</v>
      </c>
    </row>
    <row r="34" spans="1:13" x14ac:dyDescent="0.2">
      <c r="A34" t="s">
        <v>261</v>
      </c>
      <c r="B34" t="s">
        <v>369</v>
      </c>
      <c r="C34" t="s">
        <v>15</v>
      </c>
      <c r="D34" t="s">
        <v>16</v>
      </c>
      <c r="E34">
        <v>34.181100000000001</v>
      </c>
      <c r="F34">
        <v>0.692778</v>
      </c>
      <c r="G34">
        <v>2007</v>
      </c>
      <c r="H34">
        <f t="shared" si="1"/>
        <v>2007</v>
      </c>
      <c r="I34" t="s">
        <v>72</v>
      </c>
      <c r="J34">
        <v>0</v>
      </c>
      <c r="K34">
        <v>38</v>
      </c>
      <c r="L34">
        <v>24799371</v>
      </c>
      <c r="M34" t="s">
        <v>333</v>
      </c>
    </row>
    <row r="35" spans="1:13" x14ac:dyDescent="0.2">
      <c r="A35" t="s">
        <v>261</v>
      </c>
      <c r="B35" t="s">
        <v>370</v>
      </c>
      <c r="C35" t="s">
        <v>15</v>
      </c>
      <c r="D35" t="s">
        <v>16</v>
      </c>
      <c r="E35">
        <v>34.181100000000001</v>
      </c>
      <c r="F35">
        <v>0.692778</v>
      </c>
      <c r="G35">
        <v>2008</v>
      </c>
      <c r="H35">
        <f t="shared" si="1"/>
        <v>2008</v>
      </c>
      <c r="I35" t="s">
        <v>73</v>
      </c>
      <c r="J35">
        <v>0</v>
      </c>
      <c r="K35">
        <v>147</v>
      </c>
      <c r="L35">
        <v>24799371</v>
      </c>
      <c r="M35" t="s">
        <v>333</v>
      </c>
    </row>
    <row r="36" spans="1:13" x14ac:dyDescent="0.2">
      <c r="A36" t="s">
        <v>261</v>
      </c>
      <c r="B36" t="s">
        <v>370</v>
      </c>
      <c r="C36" t="s">
        <v>15</v>
      </c>
      <c r="D36" t="s">
        <v>16</v>
      </c>
      <c r="E36">
        <v>34.181100000000001</v>
      </c>
      <c r="F36">
        <v>0.692778</v>
      </c>
      <c r="G36">
        <v>2008</v>
      </c>
      <c r="H36">
        <f t="shared" si="1"/>
        <v>2008</v>
      </c>
      <c r="I36" t="s">
        <v>71</v>
      </c>
      <c r="J36">
        <v>144</v>
      </c>
      <c r="K36">
        <v>147</v>
      </c>
      <c r="L36">
        <v>24799371</v>
      </c>
      <c r="M36" t="s">
        <v>333</v>
      </c>
    </row>
    <row r="37" spans="1:13" x14ac:dyDescent="0.2">
      <c r="A37" t="s">
        <v>261</v>
      </c>
      <c r="B37" t="s">
        <v>370</v>
      </c>
      <c r="C37" t="s">
        <v>15</v>
      </c>
      <c r="D37" t="s">
        <v>16</v>
      </c>
      <c r="E37">
        <v>34.181100000000001</v>
      </c>
      <c r="F37">
        <v>0.692778</v>
      </c>
      <c r="G37">
        <v>2008</v>
      </c>
      <c r="H37">
        <f t="shared" si="1"/>
        <v>2008</v>
      </c>
      <c r="I37" t="s">
        <v>72</v>
      </c>
      <c r="J37">
        <v>3</v>
      </c>
      <c r="K37">
        <v>147</v>
      </c>
      <c r="L37">
        <v>24799371</v>
      </c>
      <c r="M37" t="s">
        <v>333</v>
      </c>
    </row>
    <row r="38" spans="1:13" x14ac:dyDescent="0.2">
      <c r="A38" t="s">
        <v>261</v>
      </c>
      <c r="B38" t="s">
        <v>371</v>
      </c>
      <c r="C38" t="s">
        <v>15</v>
      </c>
      <c r="D38" t="s">
        <v>16</v>
      </c>
      <c r="E38">
        <v>34.181100000000001</v>
      </c>
      <c r="F38">
        <v>0.692778</v>
      </c>
      <c r="G38">
        <v>2009</v>
      </c>
      <c r="H38">
        <f t="shared" si="1"/>
        <v>2009</v>
      </c>
      <c r="I38" t="s">
        <v>73</v>
      </c>
      <c r="J38">
        <v>4</v>
      </c>
      <c r="K38">
        <v>93</v>
      </c>
      <c r="L38">
        <v>24799371</v>
      </c>
      <c r="M38" t="s">
        <v>333</v>
      </c>
    </row>
    <row r="39" spans="1:13" x14ac:dyDescent="0.2">
      <c r="A39" t="s">
        <v>261</v>
      </c>
      <c r="B39" t="s">
        <v>371</v>
      </c>
      <c r="C39" t="s">
        <v>15</v>
      </c>
      <c r="D39" t="s">
        <v>16</v>
      </c>
      <c r="E39">
        <v>34.181100000000001</v>
      </c>
      <c r="F39">
        <v>0.692778</v>
      </c>
      <c r="G39">
        <v>2009</v>
      </c>
      <c r="H39">
        <f t="shared" si="1"/>
        <v>2009</v>
      </c>
      <c r="I39" t="s">
        <v>71</v>
      </c>
      <c r="J39">
        <v>87</v>
      </c>
      <c r="K39">
        <v>93</v>
      </c>
      <c r="L39">
        <v>24799371</v>
      </c>
      <c r="M39" t="s">
        <v>333</v>
      </c>
    </row>
    <row r="40" spans="1:13" x14ac:dyDescent="0.2">
      <c r="A40" t="s">
        <v>261</v>
      </c>
      <c r="B40" t="s">
        <v>371</v>
      </c>
      <c r="C40" t="s">
        <v>15</v>
      </c>
      <c r="D40" t="s">
        <v>16</v>
      </c>
      <c r="E40">
        <v>34.181100000000001</v>
      </c>
      <c r="F40">
        <v>0.692778</v>
      </c>
      <c r="G40">
        <v>2009</v>
      </c>
      <c r="H40">
        <f t="shared" si="1"/>
        <v>2009</v>
      </c>
      <c r="I40" t="s">
        <v>72</v>
      </c>
      <c r="J40">
        <v>2</v>
      </c>
      <c r="K40">
        <v>93</v>
      </c>
      <c r="L40">
        <v>24799371</v>
      </c>
      <c r="M40" t="s">
        <v>333</v>
      </c>
    </row>
    <row r="41" spans="1:13" x14ac:dyDescent="0.2">
      <c r="A41" t="s">
        <v>261</v>
      </c>
      <c r="B41" t="s">
        <v>372</v>
      </c>
      <c r="C41" t="s">
        <v>15</v>
      </c>
      <c r="D41" t="s">
        <v>16</v>
      </c>
      <c r="E41">
        <v>34.181100000000001</v>
      </c>
      <c r="F41">
        <v>0.692778</v>
      </c>
      <c r="G41">
        <v>2010</v>
      </c>
      <c r="H41">
        <f t="shared" si="1"/>
        <v>2010</v>
      </c>
      <c r="I41" t="s">
        <v>73</v>
      </c>
      <c r="J41">
        <v>0</v>
      </c>
      <c r="K41">
        <v>108</v>
      </c>
      <c r="L41">
        <v>24799371</v>
      </c>
      <c r="M41" t="s">
        <v>333</v>
      </c>
    </row>
    <row r="42" spans="1:13" x14ac:dyDescent="0.2">
      <c r="A42" t="s">
        <v>261</v>
      </c>
      <c r="B42" t="s">
        <v>372</v>
      </c>
      <c r="C42" t="s">
        <v>15</v>
      </c>
      <c r="D42" t="s">
        <v>16</v>
      </c>
      <c r="E42">
        <v>34.181100000000001</v>
      </c>
      <c r="F42">
        <v>0.692778</v>
      </c>
      <c r="G42">
        <v>2010</v>
      </c>
      <c r="H42">
        <f t="shared" si="1"/>
        <v>2010</v>
      </c>
      <c r="I42" t="s">
        <v>71</v>
      </c>
      <c r="J42">
        <v>104</v>
      </c>
      <c r="K42">
        <v>108</v>
      </c>
      <c r="L42">
        <v>24799371</v>
      </c>
      <c r="M42" t="s">
        <v>333</v>
      </c>
    </row>
    <row r="43" spans="1:13" x14ac:dyDescent="0.2">
      <c r="A43" t="s">
        <v>261</v>
      </c>
      <c r="B43" t="s">
        <v>372</v>
      </c>
      <c r="C43" t="s">
        <v>15</v>
      </c>
      <c r="D43" t="s">
        <v>16</v>
      </c>
      <c r="E43">
        <v>34.181100000000001</v>
      </c>
      <c r="F43">
        <v>0.692778</v>
      </c>
      <c r="G43">
        <v>2010</v>
      </c>
      <c r="H43">
        <f t="shared" si="1"/>
        <v>2010</v>
      </c>
      <c r="I43" t="s">
        <v>72</v>
      </c>
      <c r="J43">
        <v>4</v>
      </c>
      <c r="K43">
        <v>108</v>
      </c>
      <c r="L43">
        <v>24799371</v>
      </c>
      <c r="M43" t="s">
        <v>333</v>
      </c>
    </row>
    <row r="44" spans="1:13" x14ac:dyDescent="0.2">
      <c r="A44" t="s">
        <v>261</v>
      </c>
      <c r="B44" t="s">
        <v>373</v>
      </c>
      <c r="C44" t="s">
        <v>15</v>
      </c>
      <c r="D44" t="s">
        <v>16</v>
      </c>
      <c r="E44">
        <v>34.181100000000001</v>
      </c>
      <c r="F44">
        <v>0.692778</v>
      </c>
      <c r="G44">
        <v>2011</v>
      </c>
      <c r="H44">
        <f t="shared" si="1"/>
        <v>2011</v>
      </c>
      <c r="I44" t="s">
        <v>73</v>
      </c>
      <c r="J44">
        <v>0</v>
      </c>
      <c r="K44">
        <v>111</v>
      </c>
      <c r="L44">
        <v>24799371</v>
      </c>
      <c r="M44" t="s">
        <v>333</v>
      </c>
    </row>
    <row r="45" spans="1:13" x14ac:dyDescent="0.2">
      <c r="A45" t="s">
        <v>261</v>
      </c>
      <c r="B45" t="s">
        <v>373</v>
      </c>
      <c r="C45" t="s">
        <v>15</v>
      </c>
      <c r="D45" t="s">
        <v>16</v>
      </c>
      <c r="E45">
        <v>34.181100000000001</v>
      </c>
      <c r="F45">
        <v>0.692778</v>
      </c>
      <c r="G45">
        <v>2011</v>
      </c>
      <c r="H45">
        <f t="shared" si="1"/>
        <v>2011</v>
      </c>
      <c r="I45" t="s">
        <v>71</v>
      </c>
      <c r="J45">
        <v>102</v>
      </c>
      <c r="K45">
        <v>111</v>
      </c>
      <c r="L45">
        <v>24799371</v>
      </c>
      <c r="M45" t="s">
        <v>333</v>
      </c>
    </row>
    <row r="46" spans="1:13" x14ac:dyDescent="0.2">
      <c r="A46" t="s">
        <v>261</v>
      </c>
      <c r="B46" t="s">
        <v>373</v>
      </c>
      <c r="C46" t="s">
        <v>15</v>
      </c>
      <c r="D46" t="s">
        <v>16</v>
      </c>
      <c r="E46">
        <v>34.181100000000001</v>
      </c>
      <c r="F46">
        <v>0.692778</v>
      </c>
      <c r="G46">
        <v>2011</v>
      </c>
      <c r="H46">
        <f t="shared" si="1"/>
        <v>2011</v>
      </c>
      <c r="I46" t="s">
        <v>72</v>
      </c>
      <c r="J46">
        <v>9</v>
      </c>
      <c r="K46">
        <v>111</v>
      </c>
      <c r="L46">
        <v>24799371</v>
      </c>
      <c r="M46" t="s">
        <v>333</v>
      </c>
    </row>
    <row r="47" spans="1:13" x14ac:dyDescent="0.2">
      <c r="A47" t="s">
        <v>261</v>
      </c>
      <c r="B47" t="s">
        <v>374</v>
      </c>
      <c r="C47" t="s">
        <v>15</v>
      </c>
      <c r="D47" t="s">
        <v>16</v>
      </c>
      <c r="E47">
        <v>34.181100000000001</v>
      </c>
      <c r="F47">
        <v>0.692778</v>
      </c>
      <c r="G47">
        <v>2012</v>
      </c>
      <c r="H47">
        <f t="shared" si="1"/>
        <v>2012</v>
      </c>
      <c r="I47" t="s">
        <v>73</v>
      </c>
      <c r="J47">
        <v>13</v>
      </c>
      <c r="K47">
        <v>77</v>
      </c>
      <c r="L47">
        <v>24799371</v>
      </c>
      <c r="M47" t="s">
        <v>333</v>
      </c>
    </row>
    <row r="48" spans="1:13" x14ac:dyDescent="0.2">
      <c r="A48" t="s">
        <v>261</v>
      </c>
      <c r="B48" t="s">
        <v>374</v>
      </c>
      <c r="C48" t="s">
        <v>15</v>
      </c>
      <c r="D48" t="s">
        <v>16</v>
      </c>
      <c r="E48">
        <v>34.181100000000001</v>
      </c>
      <c r="F48">
        <v>0.692778</v>
      </c>
      <c r="G48">
        <v>2012</v>
      </c>
      <c r="H48">
        <f t="shared" si="1"/>
        <v>2012</v>
      </c>
      <c r="I48" t="s">
        <v>71</v>
      </c>
      <c r="J48">
        <v>52</v>
      </c>
      <c r="K48">
        <v>77</v>
      </c>
      <c r="L48">
        <v>24799371</v>
      </c>
      <c r="M48" t="s">
        <v>333</v>
      </c>
    </row>
    <row r="49" spans="1:13" x14ac:dyDescent="0.2">
      <c r="A49" t="s">
        <v>261</v>
      </c>
      <c r="B49" t="s">
        <v>374</v>
      </c>
      <c r="C49" t="s">
        <v>15</v>
      </c>
      <c r="D49" t="s">
        <v>16</v>
      </c>
      <c r="E49">
        <v>34.181100000000001</v>
      </c>
      <c r="F49">
        <v>0.692778</v>
      </c>
      <c r="G49">
        <v>2012</v>
      </c>
      <c r="H49">
        <f t="shared" si="1"/>
        <v>2012</v>
      </c>
      <c r="I49" t="s">
        <v>72</v>
      </c>
      <c r="J49">
        <v>12</v>
      </c>
      <c r="K49">
        <v>77</v>
      </c>
      <c r="L49">
        <v>24799371</v>
      </c>
      <c r="M49" t="s">
        <v>333</v>
      </c>
    </row>
  </sheetData>
  <sortState xmlns:xlrd2="http://schemas.microsoft.com/office/spreadsheetml/2017/richdata2" ref="A2:M40">
    <sortCondition ref="G2:G40"/>
  </sortState>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15EB-EC1C-3449-B9A3-889F47F7CD01}">
  <dimension ref="A1:M13"/>
  <sheetViews>
    <sheetView workbookViewId="0">
      <selection activeCell="L29" sqref="L29"/>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123</v>
      </c>
      <c r="B2" t="s">
        <v>124</v>
      </c>
      <c r="C2" t="s">
        <v>10</v>
      </c>
      <c r="D2" t="s">
        <v>33</v>
      </c>
      <c r="E2">
        <v>-0.2</v>
      </c>
      <c r="F2">
        <v>5.55</v>
      </c>
      <c r="G2">
        <v>2010</v>
      </c>
      <c r="H2">
        <v>2011</v>
      </c>
      <c r="I2" t="s">
        <v>73</v>
      </c>
      <c r="J2">
        <v>15</v>
      </c>
      <c r="K2">
        <v>30</v>
      </c>
      <c r="L2">
        <v>24727053</v>
      </c>
    </row>
    <row r="3" spans="1:13" x14ac:dyDescent="0.2">
      <c r="A3" t="s">
        <v>123</v>
      </c>
      <c r="B3" t="s">
        <v>124</v>
      </c>
      <c r="C3" t="s">
        <v>10</v>
      </c>
      <c r="D3" t="s">
        <v>33</v>
      </c>
      <c r="E3">
        <v>-0.2</v>
      </c>
      <c r="F3">
        <v>5.55</v>
      </c>
      <c r="G3">
        <v>2010</v>
      </c>
      <c r="H3">
        <v>2011</v>
      </c>
      <c r="I3" t="s">
        <v>71</v>
      </c>
      <c r="J3">
        <v>15</v>
      </c>
      <c r="K3">
        <v>30</v>
      </c>
      <c r="L3">
        <v>24727053</v>
      </c>
    </row>
    <row r="4" spans="1:13" x14ac:dyDescent="0.2">
      <c r="A4" t="s">
        <v>123</v>
      </c>
      <c r="B4" t="s">
        <v>126</v>
      </c>
      <c r="C4" t="s">
        <v>10</v>
      </c>
      <c r="D4" t="s">
        <v>127</v>
      </c>
      <c r="E4">
        <v>-1.5208600000000001</v>
      </c>
      <c r="F4">
        <v>6.7470400000000001</v>
      </c>
      <c r="G4">
        <v>2010</v>
      </c>
      <c r="H4">
        <v>2011</v>
      </c>
      <c r="I4" t="s">
        <v>71</v>
      </c>
      <c r="J4">
        <v>28</v>
      </c>
      <c r="K4">
        <v>53</v>
      </c>
      <c r="L4">
        <v>24727053</v>
      </c>
    </row>
    <row r="5" spans="1:13" x14ac:dyDescent="0.2">
      <c r="A5" t="s">
        <v>123</v>
      </c>
      <c r="B5" t="s">
        <v>126</v>
      </c>
      <c r="C5" t="s">
        <v>10</v>
      </c>
      <c r="D5" t="s">
        <v>127</v>
      </c>
      <c r="E5">
        <v>-1.5208600000000001</v>
      </c>
      <c r="F5">
        <v>6.7470400000000001</v>
      </c>
      <c r="G5">
        <v>2010</v>
      </c>
      <c r="H5">
        <v>2011</v>
      </c>
      <c r="I5" t="s">
        <v>73</v>
      </c>
      <c r="J5">
        <v>25</v>
      </c>
      <c r="K5">
        <v>53</v>
      </c>
      <c r="L5">
        <v>24727053</v>
      </c>
    </row>
    <row r="6" spans="1:13" x14ac:dyDescent="0.2">
      <c r="A6" t="s">
        <v>123</v>
      </c>
      <c r="B6" t="s">
        <v>133</v>
      </c>
      <c r="C6" t="s">
        <v>10</v>
      </c>
      <c r="D6" t="s">
        <v>134</v>
      </c>
      <c r="E6">
        <v>-1.6760699999999999</v>
      </c>
      <c r="F6">
        <v>7.9559199999999999</v>
      </c>
      <c r="G6">
        <v>2010</v>
      </c>
      <c r="H6">
        <v>2011</v>
      </c>
      <c r="I6" t="s">
        <v>71</v>
      </c>
      <c r="J6">
        <v>36</v>
      </c>
      <c r="K6">
        <v>56</v>
      </c>
      <c r="L6">
        <v>24727053</v>
      </c>
      <c r="M6" t="s">
        <v>334</v>
      </c>
    </row>
    <row r="7" spans="1:13" x14ac:dyDescent="0.2">
      <c r="A7" t="s">
        <v>123</v>
      </c>
      <c r="B7" t="s">
        <v>133</v>
      </c>
      <c r="C7" t="s">
        <v>10</v>
      </c>
      <c r="D7" t="s">
        <v>134</v>
      </c>
      <c r="E7">
        <v>-1.6760699999999999</v>
      </c>
      <c r="F7">
        <v>7.9559199999999999</v>
      </c>
      <c r="G7">
        <v>2010</v>
      </c>
      <c r="H7">
        <v>2011</v>
      </c>
      <c r="I7" t="s">
        <v>73</v>
      </c>
      <c r="J7">
        <v>20</v>
      </c>
      <c r="K7">
        <v>56</v>
      </c>
      <c r="L7">
        <v>24727053</v>
      </c>
      <c r="M7" t="s">
        <v>334</v>
      </c>
    </row>
    <row r="8" spans="1:13" x14ac:dyDescent="0.2">
      <c r="A8" t="s">
        <v>123</v>
      </c>
      <c r="B8" t="s">
        <v>137</v>
      </c>
      <c r="C8" t="s">
        <v>10</v>
      </c>
      <c r="D8" t="s">
        <v>138</v>
      </c>
      <c r="E8">
        <v>-1.0586100000000001</v>
      </c>
      <c r="F8">
        <v>5.5607800000000003</v>
      </c>
      <c r="G8">
        <v>2010</v>
      </c>
      <c r="H8">
        <v>2011</v>
      </c>
      <c r="I8" t="s">
        <v>71</v>
      </c>
      <c r="J8">
        <v>24</v>
      </c>
      <c r="K8">
        <v>40</v>
      </c>
      <c r="L8">
        <v>24727053</v>
      </c>
    </row>
    <row r="9" spans="1:13" x14ac:dyDescent="0.2">
      <c r="A9" t="s">
        <v>123</v>
      </c>
      <c r="B9" t="s">
        <v>137</v>
      </c>
      <c r="C9" t="s">
        <v>10</v>
      </c>
      <c r="D9" t="s">
        <v>138</v>
      </c>
      <c r="E9">
        <v>-1.0586100000000001</v>
      </c>
      <c r="F9">
        <v>5.5607800000000003</v>
      </c>
      <c r="G9">
        <v>2010</v>
      </c>
      <c r="H9">
        <v>2011</v>
      </c>
      <c r="I9" t="s">
        <v>73</v>
      </c>
      <c r="J9">
        <v>16</v>
      </c>
      <c r="K9">
        <v>40</v>
      </c>
      <c r="L9">
        <v>24727053</v>
      </c>
    </row>
    <row r="10" spans="1:13" x14ac:dyDescent="0.2">
      <c r="A10" t="s">
        <v>123</v>
      </c>
      <c r="B10" t="s">
        <v>152</v>
      </c>
      <c r="C10" t="s">
        <v>10</v>
      </c>
      <c r="D10" t="s">
        <v>153</v>
      </c>
      <c r="E10">
        <v>0.450237</v>
      </c>
      <c r="F10">
        <v>6.5781400000000003</v>
      </c>
      <c r="G10">
        <v>2010</v>
      </c>
      <c r="H10">
        <v>2011</v>
      </c>
      <c r="I10" t="s">
        <v>71</v>
      </c>
      <c r="J10">
        <v>19</v>
      </c>
      <c r="K10">
        <v>32</v>
      </c>
      <c r="L10">
        <v>24727053</v>
      </c>
    </row>
    <row r="11" spans="1:13" x14ac:dyDescent="0.2">
      <c r="A11" t="s">
        <v>123</v>
      </c>
      <c r="B11" t="s">
        <v>152</v>
      </c>
      <c r="C11" t="s">
        <v>10</v>
      </c>
      <c r="D11" t="s">
        <v>153</v>
      </c>
      <c r="E11">
        <v>0.450237</v>
      </c>
      <c r="F11">
        <v>6.5781400000000003</v>
      </c>
      <c r="G11">
        <v>2010</v>
      </c>
      <c r="H11">
        <v>2011</v>
      </c>
      <c r="I11" t="s">
        <v>73</v>
      </c>
      <c r="J11">
        <v>13</v>
      </c>
      <c r="K11">
        <v>32</v>
      </c>
      <c r="L11">
        <v>24727053</v>
      </c>
    </row>
    <row r="12" spans="1:13" x14ac:dyDescent="0.2">
      <c r="A12" t="s">
        <v>123</v>
      </c>
      <c r="B12" t="s">
        <v>154</v>
      </c>
      <c r="C12" t="s">
        <v>10</v>
      </c>
      <c r="D12" t="s">
        <v>155</v>
      </c>
      <c r="E12">
        <v>-2.1450200000000001</v>
      </c>
      <c r="F12">
        <v>5.3902000000000001</v>
      </c>
      <c r="G12">
        <v>2010</v>
      </c>
      <c r="H12">
        <v>2011</v>
      </c>
      <c r="I12" t="s">
        <v>71</v>
      </c>
      <c r="J12">
        <v>21</v>
      </c>
      <c r="K12">
        <v>34</v>
      </c>
      <c r="L12">
        <v>24727053</v>
      </c>
    </row>
    <row r="13" spans="1:13" x14ac:dyDescent="0.2">
      <c r="A13" t="s">
        <v>123</v>
      </c>
      <c r="B13" t="s">
        <v>154</v>
      </c>
      <c r="C13" t="s">
        <v>10</v>
      </c>
      <c r="D13" t="s">
        <v>155</v>
      </c>
      <c r="E13">
        <v>-2.1450200000000001</v>
      </c>
      <c r="F13">
        <v>5.3902000000000001</v>
      </c>
      <c r="G13">
        <v>2010</v>
      </c>
      <c r="H13">
        <v>2011</v>
      </c>
      <c r="I13" t="s">
        <v>73</v>
      </c>
      <c r="J13">
        <v>13</v>
      </c>
      <c r="K13">
        <v>34</v>
      </c>
      <c r="L13">
        <v>24727053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4866D-94C1-D541-B11F-6DA60163BC47}">
  <dimension ref="A1:M16"/>
  <sheetViews>
    <sheetView workbookViewId="0">
      <selection activeCell="M5" sqref="M5"/>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161</v>
      </c>
      <c r="B2" t="s">
        <v>162</v>
      </c>
      <c r="C2" t="s">
        <v>160</v>
      </c>
      <c r="D2" t="s">
        <v>160</v>
      </c>
      <c r="E2">
        <v>-15.6</v>
      </c>
      <c r="F2">
        <v>11.8667</v>
      </c>
      <c r="G2">
        <v>2001</v>
      </c>
      <c r="H2">
        <v>2004</v>
      </c>
      <c r="I2" t="s">
        <v>73</v>
      </c>
      <c r="J2">
        <v>34</v>
      </c>
      <c r="K2">
        <v>50</v>
      </c>
      <c r="L2">
        <v>24657918</v>
      </c>
      <c r="M2" t="s">
        <v>335</v>
      </c>
    </row>
    <row r="3" spans="1:13" x14ac:dyDescent="0.2">
      <c r="A3" t="s">
        <v>161</v>
      </c>
      <c r="B3" t="s">
        <v>162</v>
      </c>
      <c r="C3" t="s">
        <v>160</v>
      </c>
      <c r="D3" t="s">
        <v>160</v>
      </c>
      <c r="E3">
        <v>-15.6</v>
      </c>
      <c r="F3">
        <v>11.8667</v>
      </c>
      <c r="G3">
        <v>2001</v>
      </c>
      <c r="H3">
        <v>2004</v>
      </c>
      <c r="I3" t="s">
        <v>71</v>
      </c>
      <c r="J3">
        <v>14</v>
      </c>
      <c r="K3">
        <v>50</v>
      </c>
      <c r="L3">
        <v>24657918</v>
      </c>
      <c r="M3" t="s">
        <v>335</v>
      </c>
    </row>
    <row r="4" spans="1:13" x14ac:dyDescent="0.2">
      <c r="A4" t="s">
        <v>161</v>
      </c>
      <c r="B4" t="s">
        <v>162</v>
      </c>
      <c r="C4" t="s">
        <v>160</v>
      </c>
      <c r="D4" t="s">
        <v>160</v>
      </c>
      <c r="E4">
        <v>-15.6</v>
      </c>
      <c r="F4">
        <v>11.8667</v>
      </c>
      <c r="G4">
        <v>2001</v>
      </c>
      <c r="H4">
        <v>2004</v>
      </c>
      <c r="I4" t="s">
        <v>72</v>
      </c>
      <c r="J4">
        <v>2</v>
      </c>
      <c r="K4">
        <v>50</v>
      </c>
      <c r="L4">
        <v>24657918</v>
      </c>
      <c r="M4" t="s">
        <v>335</v>
      </c>
    </row>
    <row r="5" spans="1:13" x14ac:dyDescent="0.2">
      <c r="A5" t="s">
        <v>161</v>
      </c>
      <c r="B5" t="s">
        <v>162</v>
      </c>
      <c r="C5" t="s">
        <v>160</v>
      </c>
      <c r="D5" t="s">
        <v>160</v>
      </c>
      <c r="E5">
        <v>-15.6</v>
      </c>
      <c r="F5">
        <v>11.8667</v>
      </c>
      <c r="G5">
        <v>2001</v>
      </c>
      <c r="H5">
        <v>2004</v>
      </c>
      <c r="I5" t="s">
        <v>76</v>
      </c>
      <c r="J5">
        <v>26</v>
      </c>
      <c r="K5">
        <v>50</v>
      </c>
      <c r="L5">
        <v>24657918</v>
      </c>
      <c r="M5" t="s">
        <v>335</v>
      </c>
    </row>
    <row r="6" spans="1:13" x14ac:dyDescent="0.2">
      <c r="A6" t="s">
        <v>161</v>
      </c>
      <c r="B6" t="s">
        <v>162</v>
      </c>
      <c r="C6" t="s">
        <v>160</v>
      </c>
      <c r="D6" t="s">
        <v>160</v>
      </c>
      <c r="E6">
        <v>-15.6</v>
      </c>
      <c r="F6">
        <v>11.8667</v>
      </c>
      <c r="G6">
        <v>2001</v>
      </c>
      <c r="H6">
        <v>2004</v>
      </c>
      <c r="I6" t="s">
        <v>74</v>
      </c>
      <c r="J6">
        <v>22</v>
      </c>
      <c r="K6">
        <v>50</v>
      </c>
      <c r="L6">
        <v>24657918</v>
      </c>
      <c r="M6" t="s">
        <v>335</v>
      </c>
    </row>
    <row r="7" spans="1:13" x14ac:dyDescent="0.2">
      <c r="A7" t="s">
        <v>161</v>
      </c>
      <c r="B7" t="s">
        <v>162</v>
      </c>
      <c r="C7" t="s">
        <v>160</v>
      </c>
      <c r="D7" t="s">
        <v>160</v>
      </c>
      <c r="E7">
        <v>-15.6</v>
      </c>
      <c r="F7">
        <v>11.8667</v>
      </c>
      <c r="G7">
        <v>2001</v>
      </c>
      <c r="H7">
        <v>2004</v>
      </c>
      <c r="I7" t="s">
        <v>75</v>
      </c>
      <c r="J7">
        <v>2</v>
      </c>
      <c r="K7">
        <v>50</v>
      </c>
      <c r="L7">
        <v>24657918</v>
      </c>
      <c r="M7" t="s">
        <v>335</v>
      </c>
    </row>
    <row r="8" spans="1:13" x14ac:dyDescent="0.2">
      <c r="A8" t="s">
        <v>161</v>
      </c>
      <c r="B8" t="s">
        <v>203</v>
      </c>
      <c r="C8" t="s">
        <v>37</v>
      </c>
      <c r="D8" t="s">
        <v>37</v>
      </c>
      <c r="E8">
        <v>-10.801399999999999</v>
      </c>
      <c r="F8">
        <v>6.3133299999999997</v>
      </c>
      <c r="G8">
        <v>1978</v>
      </c>
      <c r="H8">
        <v>1981</v>
      </c>
      <c r="I8" t="s">
        <v>73</v>
      </c>
      <c r="J8">
        <v>50</v>
      </c>
      <c r="K8">
        <v>50</v>
      </c>
      <c r="L8">
        <v>24657918</v>
      </c>
    </row>
    <row r="9" spans="1:13" x14ac:dyDescent="0.2">
      <c r="A9" t="s">
        <v>161</v>
      </c>
      <c r="B9" t="s">
        <v>203</v>
      </c>
      <c r="C9" t="s">
        <v>37</v>
      </c>
      <c r="D9" t="s">
        <v>37</v>
      </c>
      <c r="E9">
        <v>-10.801399999999999</v>
      </c>
      <c r="F9">
        <v>6.3133299999999997</v>
      </c>
      <c r="G9">
        <v>1978</v>
      </c>
      <c r="H9">
        <v>1981</v>
      </c>
      <c r="I9" t="s">
        <v>71</v>
      </c>
      <c r="J9">
        <v>0</v>
      </c>
      <c r="K9">
        <v>50</v>
      </c>
      <c r="L9">
        <v>24657918</v>
      </c>
    </row>
    <row r="10" spans="1:13" x14ac:dyDescent="0.2">
      <c r="A10" t="s">
        <v>161</v>
      </c>
      <c r="B10" t="s">
        <v>203</v>
      </c>
      <c r="C10" t="s">
        <v>37</v>
      </c>
      <c r="D10" t="s">
        <v>37</v>
      </c>
      <c r="E10">
        <v>-10.801399999999999</v>
      </c>
      <c r="F10">
        <v>6.3133299999999997</v>
      </c>
      <c r="G10">
        <v>1978</v>
      </c>
      <c r="H10">
        <v>1981</v>
      </c>
      <c r="I10" t="s">
        <v>76</v>
      </c>
      <c r="J10">
        <v>45</v>
      </c>
      <c r="K10">
        <v>47</v>
      </c>
      <c r="L10">
        <v>24657918</v>
      </c>
      <c r="M10" t="s">
        <v>335</v>
      </c>
    </row>
    <row r="11" spans="1:13" x14ac:dyDescent="0.2">
      <c r="A11" t="s">
        <v>161</v>
      </c>
      <c r="B11" t="s">
        <v>203</v>
      </c>
      <c r="C11" t="s">
        <v>37</v>
      </c>
      <c r="D11" t="s">
        <v>37</v>
      </c>
      <c r="E11">
        <v>-10.801399999999999</v>
      </c>
      <c r="F11">
        <v>6.3133299999999997</v>
      </c>
      <c r="G11">
        <v>1978</v>
      </c>
      <c r="H11">
        <v>1981</v>
      </c>
      <c r="I11" t="s">
        <v>74</v>
      </c>
      <c r="J11">
        <v>1</v>
      </c>
      <c r="K11">
        <v>47</v>
      </c>
      <c r="L11">
        <v>24657918</v>
      </c>
      <c r="M11" t="s">
        <v>335</v>
      </c>
    </row>
    <row r="12" spans="1:13" x14ac:dyDescent="0.2">
      <c r="A12" t="s">
        <v>161</v>
      </c>
      <c r="B12" t="s">
        <v>203</v>
      </c>
      <c r="C12" t="s">
        <v>37</v>
      </c>
      <c r="D12" t="s">
        <v>37</v>
      </c>
      <c r="E12">
        <v>-10.801399999999999</v>
      </c>
      <c r="F12">
        <v>6.3133299999999997</v>
      </c>
      <c r="G12">
        <v>1978</v>
      </c>
      <c r="H12">
        <v>1981</v>
      </c>
      <c r="I12" t="s">
        <v>75</v>
      </c>
      <c r="J12">
        <v>1</v>
      </c>
      <c r="K12">
        <v>47</v>
      </c>
      <c r="L12">
        <v>24657918</v>
      </c>
      <c r="M12" t="s">
        <v>335</v>
      </c>
    </row>
    <row r="13" spans="1:13" x14ac:dyDescent="0.2">
      <c r="A13" t="s">
        <v>161</v>
      </c>
      <c r="B13" t="s">
        <v>214</v>
      </c>
      <c r="C13" t="s">
        <v>14</v>
      </c>
      <c r="D13" t="s">
        <v>14</v>
      </c>
      <c r="E13">
        <v>39.283299999999997</v>
      </c>
      <c r="F13">
        <v>-6.8</v>
      </c>
      <c r="G13">
        <v>2008</v>
      </c>
      <c r="H13">
        <v>2008</v>
      </c>
      <c r="I13" t="s">
        <v>73</v>
      </c>
      <c r="J13">
        <v>33</v>
      </c>
      <c r="K13">
        <v>50</v>
      </c>
      <c r="L13">
        <v>24657918</v>
      </c>
    </row>
    <row r="14" spans="1:13" x14ac:dyDescent="0.2">
      <c r="A14" t="s">
        <v>161</v>
      </c>
      <c r="B14" t="s">
        <v>214</v>
      </c>
      <c r="C14" t="s">
        <v>14</v>
      </c>
      <c r="D14" t="s">
        <v>14</v>
      </c>
      <c r="E14">
        <v>39.283299999999997</v>
      </c>
      <c r="F14">
        <v>-6.8</v>
      </c>
      <c r="G14">
        <v>2008</v>
      </c>
      <c r="H14">
        <v>2008</v>
      </c>
      <c r="I14" t="s">
        <v>71</v>
      </c>
      <c r="J14">
        <v>17</v>
      </c>
      <c r="K14">
        <v>50</v>
      </c>
      <c r="L14">
        <v>24657918</v>
      </c>
    </row>
    <row r="15" spans="1:13" x14ac:dyDescent="0.2">
      <c r="A15" t="s">
        <v>161</v>
      </c>
      <c r="B15" t="s">
        <v>214</v>
      </c>
      <c r="C15" t="s">
        <v>14</v>
      </c>
      <c r="D15" t="s">
        <v>14</v>
      </c>
      <c r="E15">
        <v>39.283299999999997</v>
      </c>
      <c r="F15">
        <v>-6.8</v>
      </c>
      <c r="G15">
        <v>2008</v>
      </c>
      <c r="H15">
        <v>2008</v>
      </c>
      <c r="I15" t="s">
        <v>76</v>
      </c>
      <c r="J15">
        <v>34</v>
      </c>
      <c r="K15">
        <v>50</v>
      </c>
      <c r="L15">
        <v>24657918</v>
      </c>
    </row>
    <row r="16" spans="1:13" x14ac:dyDescent="0.2">
      <c r="A16" t="s">
        <v>161</v>
      </c>
      <c r="B16" t="s">
        <v>214</v>
      </c>
      <c r="C16" t="s">
        <v>14</v>
      </c>
      <c r="D16" t="s">
        <v>14</v>
      </c>
      <c r="E16">
        <v>39.283299999999997</v>
      </c>
      <c r="F16">
        <v>-6.8</v>
      </c>
      <c r="G16">
        <v>2008</v>
      </c>
      <c r="H16">
        <v>2008</v>
      </c>
      <c r="I16" t="s">
        <v>74</v>
      </c>
      <c r="J16">
        <v>16</v>
      </c>
      <c r="K16">
        <v>50</v>
      </c>
      <c r="L16">
        <v>24657918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E7A4-5248-2C43-90D5-462A2E22F25C}">
  <dimension ref="A1:M3"/>
  <sheetViews>
    <sheetView workbookViewId="0">
      <selection activeCell="N31" sqref="N31"/>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98</v>
      </c>
      <c r="B2" t="s">
        <v>99</v>
      </c>
      <c r="C2" t="s">
        <v>8</v>
      </c>
      <c r="D2" t="s">
        <v>9</v>
      </c>
      <c r="E2">
        <v>15.3139</v>
      </c>
      <c r="F2">
        <v>-4.3316699999999999</v>
      </c>
      <c r="G2">
        <v>2010</v>
      </c>
      <c r="H2">
        <v>2010</v>
      </c>
      <c r="I2" t="s">
        <v>73</v>
      </c>
      <c r="J2">
        <v>53</v>
      </c>
      <c r="K2">
        <v>198</v>
      </c>
      <c r="L2">
        <v>24359280</v>
      </c>
      <c r="M2" t="s">
        <v>336</v>
      </c>
    </row>
    <row r="3" spans="1:13" x14ac:dyDescent="0.2">
      <c r="A3" t="s">
        <v>98</v>
      </c>
      <c r="B3" t="s">
        <v>99</v>
      </c>
      <c r="C3" t="s">
        <v>8</v>
      </c>
      <c r="D3" t="s">
        <v>9</v>
      </c>
      <c r="E3">
        <v>15.3139</v>
      </c>
      <c r="F3">
        <v>-4.3316699999999999</v>
      </c>
      <c r="G3">
        <v>2010</v>
      </c>
      <c r="H3">
        <v>2010</v>
      </c>
      <c r="I3" t="s">
        <v>71</v>
      </c>
      <c r="J3">
        <v>145</v>
      </c>
      <c r="K3">
        <v>198</v>
      </c>
      <c r="L3">
        <v>24359280</v>
      </c>
      <c r="M3" t="s">
        <v>336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4673B-4EA2-6C45-AF85-AFF1247317EF}">
  <dimension ref="A1:M7"/>
  <sheetViews>
    <sheetView workbookViewId="0">
      <selection activeCell="N26" sqref="N26"/>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211</v>
      </c>
      <c r="B2" t="s">
        <v>212</v>
      </c>
      <c r="C2" t="s">
        <v>47</v>
      </c>
      <c r="D2" t="s">
        <v>213</v>
      </c>
      <c r="E2">
        <v>36.4</v>
      </c>
      <c r="F2">
        <v>15.45</v>
      </c>
      <c r="G2">
        <v>2012</v>
      </c>
      <c r="H2">
        <v>2012</v>
      </c>
      <c r="I2" t="s">
        <v>75</v>
      </c>
      <c r="J2">
        <v>3</v>
      </c>
      <c r="K2">
        <v>63</v>
      </c>
      <c r="L2">
        <v>23870667</v>
      </c>
    </row>
    <row r="3" spans="1:13" x14ac:dyDescent="0.2">
      <c r="A3" t="s">
        <v>211</v>
      </c>
      <c r="B3" t="s">
        <v>212</v>
      </c>
      <c r="C3" t="s">
        <v>47</v>
      </c>
      <c r="D3" t="s">
        <v>213</v>
      </c>
      <c r="E3">
        <v>36.4</v>
      </c>
      <c r="F3">
        <v>15.45</v>
      </c>
      <c r="G3">
        <v>2012</v>
      </c>
      <c r="H3">
        <v>2012</v>
      </c>
      <c r="I3" t="s">
        <v>76</v>
      </c>
      <c r="J3">
        <v>25</v>
      </c>
      <c r="K3">
        <v>63</v>
      </c>
      <c r="L3">
        <v>23870667</v>
      </c>
    </row>
    <row r="4" spans="1:13" x14ac:dyDescent="0.2">
      <c r="A4" t="s">
        <v>211</v>
      </c>
      <c r="B4" t="s">
        <v>212</v>
      </c>
      <c r="C4" t="s">
        <v>47</v>
      </c>
      <c r="D4" t="s">
        <v>213</v>
      </c>
      <c r="E4">
        <v>36.4</v>
      </c>
      <c r="F4">
        <v>15.45</v>
      </c>
      <c r="G4">
        <v>2012</v>
      </c>
      <c r="H4">
        <v>2012</v>
      </c>
      <c r="I4" t="s">
        <v>74</v>
      </c>
      <c r="J4">
        <v>35</v>
      </c>
      <c r="K4">
        <v>63</v>
      </c>
      <c r="L4">
        <v>23870667</v>
      </c>
    </row>
    <row r="5" spans="1:13" x14ac:dyDescent="0.2">
      <c r="A5" t="s">
        <v>211</v>
      </c>
      <c r="B5" t="s">
        <v>212</v>
      </c>
      <c r="C5" t="s">
        <v>47</v>
      </c>
      <c r="D5" t="s">
        <v>213</v>
      </c>
      <c r="E5">
        <v>36.4</v>
      </c>
      <c r="F5">
        <v>15.45</v>
      </c>
      <c r="G5">
        <v>2012</v>
      </c>
      <c r="H5">
        <v>2012</v>
      </c>
      <c r="I5" t="s">
        <v>73</v>
      </c>
      <c r="J5">
        <v>16</v>
      </c>
      <c r="K5">
        <v>63</v>
      </c>
      <c r="L5">
        <v>23870667</v>
      </c>
      <c r="M5" t="s">
        <v>332</v>
      </c>
    </row>
    <row r="6" spans="1:13" x14ac:dyDescent="0.2">
      <c r="A6" t="s">
        <v>211</v>
      </c>
      <c r="B6" t="s">
        <v>212</v>
      </c>
      <c r="C6" t="s">
        <v>47</v>
      </c>
      <c r="D6" t="s">
        <v>213</v>
      </c>
      <c r="E6">
        <v>36.4</v>
      </c>
      <c r="F6">
        <v>15.45</v>
      </c>
      <c r="G6">
        <v>2012</v>
      </c>
      <c r="H6">
        <v>2012</v>
      </c>
      <c r="I6" t="s">
        <v>71</v>
      </c>
      <c r="J6">
        <v>44</v>
      </c>
      <c r="K6">
        <v>63</v>
      </c>
      <c r="L6">
        <v>23870667</v>
      </c>
      <c r="M6" t="s">
        <v>332</v>
      </c>
    </row>
    <row r="7" spans="1:13" x14ac:dyDescent="0.2">
      <c r="A7" t="s">
        <v>211</v>
      </c>
      <c r="B7" t="s">
        <v>212</v>
      </c>
      <c r="C7" t="s">
        <v>47</v>
      </c>
      <c r="D7" t="s">
        <v>213</v>
      </c>
      <c r="E7">
        <v>36.4</v>
      </c>
      <c r="F7">
        <v>15.45</v>
      </c>
      <c r="G7">
        <v>2012</v>
      </c>
      <c r="H7">
        <v>2012</v>
      </c>
      <c r="I7" t="s">
        <v>72</v>
      </c>
      <c r="J7">
        <v>3</v>
      </c>
      <c r="K7">
        <v>63</v>
      </c>
      <c r="L7">
        <v>23870667</v>
      </c>
      <c r="M7" t="s">
        <v>332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67CA-2EEA-9442-9CAE-BA6B462E0B08}">
  <dimension ref="A1:M13"/>
  <sheetViews>
    <sheetView workbookViewId="0">
      <selection activeCell="P32" sqref="P32"/>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110</v>
      </c>
      <c r="B2" t="s">
        <v>111</v>
      </c>
      <c r="C2" t="s">
        <v>28</v>
      </c>
      <c r="D2" t="s">
        <v>112</v>
      </c>
      <c r="E2">
        <v>10.1739</v>
      </c>
      <c r="F2">
        <v>1.74579</v>
      </c>
      <c r="G2">
        <v>2005</v>
      </c>
      <c r="H2">
        <v>2005</v>
      </c>
      <c r="I2" t="s">
        <v>73</v>
      </c>
      <c r="J2">
        <v>57</v>
      </c>
      <c r="K2">
        <v>184</v>
      </c>
      <c r="L2">
        <v>23537170</v>
      </c>
    </row>
    <row r="3" spans="1:13" x14ac:dyDescent="0.2">
      <c r="A3" t="s">
        <v>110</v>
      </c>
      <c r="B3" t="s">
        <v>111</v>
      </c>
      <c r="C3" t="s">
        <v>28</v>
      </c>
      <c r="D3" t="s">
        <v>112</v>
      </c>
      <c r="E3">
        <v>10.1739</v>
      </c>
      <c r="F3">
        <v>1.74579</v>
      </c>
      <c r="G3">
        <v>2005</v>
      </c>
      <c r="H3">
        <v>2005</v>
      </c>
      <c r="I3" t="s">
        <v>72</v>
      </c>
      <c r="J3">
        <v>28</v>
      </c>
      <c r="K3">
        <v>184</v>
      </c>
      <c r="L3">
        <v>23537170</v>
      </c>
    </row>
    <row r="4" spans="1:13" x14ac:dyDescent="0.2">
      <c r="A4" t="s">
        <v>110</v>
      </c>
      <c r="B4" t="s">
        <v>111</v>
      </c>
      <c r="C4" t="s">
        <v>28</v>
      </c>
      <c r="D4" t="s">
        <v>112</v>
      </c>
      <c r="E4">
        <v>10.1739</v>
      </c>
      <c r="F4">
        <v>1.74579</v>
      </c>
      <c r="G4">
        <v>2005</v>
      </c>
      <c r="H4">
        <v>2005</v>
      </c>
      <c r="I4" t="s">
        <v>71</v>
      </c>
      <c r="J4">
        <v>99</v>
      </c>
      <c r="K4">
        <v>184</v>
      </c>
      <c r="L4">
        <v>23537170</v>
      </c>
    </row>
    <row r="5" spans="1:13" x14ac:dyDescent="0.2">
      <c r="A5" t="s">
        <v>110</v>
      </c>
      <c r="B5" t="s">
        <v>111</v>
      </c>
      <c r="C5" t="s">
        <v>28</v>
      </c>
      <c r="D5" t="s">
        <v>112</v>
      </c>
      <c r="E5">
        <v>10.1739</v>
      </c>
      <c r="F5">
        <v>1.74579</v>
      </c>
      <c r="G5">
        <v>2005</v>
      </c>
      <c r="H5">
        <v>2005</v>
      </c>
      <c r="I5" t="s">
        <v>76</v>
      </c>
      <c r="J5">
        <v>29</v>
      </c>
      <c r="K5">
        <v>181</v>
      </c>
      <c r="L5">
        <v>23537170</v>
      </c>
    </row>
    <row r="6" spans="1:13" x14ac:dyDescent="0.2">
      <c r="A6" t="s">
        <v>110</v>
      </c>
      <c r="B6" t="s">
        <v>111</v>
      </c>
      <c r="C6" t="s">
        <v>28</v>
      </c>
      <c r="D6" t="s">
        <v>112</v>
      </c>
      <c r="E6">
        <v>10.1739</v>
      </c>
      <c r="F6">
        <v>1.74579</v>
      </c>
      <c r="G6">
        <v>2005</v>
      </c>
      <c r="H6">
        <v>2005</v>
      </c>
      <c r="I6" t="s">
        <v>75</v>
      </c>
      <c r="J6">
        <v>34</v>
      </c>
      <c r="K6">
        <v>181</v>
      </c>
      <c r="L6">
        <v>23537170</v>
      </c>
    </row>
    <row r="7" spans="1:13" x14ac:dyDescent="0.2">
      <c r="A7" t="s">
        <v>110</v>
      </c>
      <c r="B7" t="s">
        <v>111</v>
      </c>
      <c r="C7" t="s">
        <v>28</v>
      </c>
      <c r="D7" t="s">
        <v>112</v>
      </c>
      <c r="E7">
        <v>10.1739</v>
      </c>
      <c r="F7">
        <v>1.74579</v>
      </c>
      <c r="G7">
        <v>2005</v>
      </c>
      <c r="H7">
        <v>2005</v>
      </c>
      <c r="I7" t="s">
        <v>74</v>
      </c>
      <c r="J7">
        <v>118</v>
      </c>
      <c r="K7">
        <v>181</v>
      </c>
      <c r="L7">
        <v>23537170</v>
      </c>
    </row>
    <row r="8" spans="1:13" x14ac:dyDescent="0.2">
      <c r="A8" t="s">
        <v>110</v>
      </c>
      <c r="B8" t="s">
        <v>113</v>
      </c>
      <c r="C8" t="s">
        <v>28</v>
      </c>
      <c r="D8" t="s">
        <v>114</v>
      </c>
      <c r="E8">
        <v>9.7836800000000004</v>
      </c>
      <c r="F8">
        <v>2.0440499999999999</v>
      </c>
      <c r="G8">
        <v>2005</v>
      </c>
      <c r="H8">
        <v>2005</v>
      </c>
      <c r="I8" t="s">
        <v>73</v>
      </c>
      <c r="J8">
        <v>25</v>
      </c>
      <c r="K8">
        <v>113</v>
      </c>
      <c r="L8">
        <v>23537170</v>
      </c>
    </row>
    <row r="9" spans="1:13" x14ac:dyDescent="0.2">
      <c r="A9" t="s">
        <v>110</v>
      </c>
      <c r="B9" t="s">
        <v>113</v>
      </c>
      <c r="C9" t="s">
        <v>28</v>
      </c>
      <c r="D9" t="s">
        <v>114</v>
      </c>
      <c r="E9">
        <v>9.7836800000000004</v>
      </c>
      <c r="F9">
        <v>2.0440499999999999</v>
      </c>
      <c r="G9">
        <v>2005</v>
      </c>
      <c r="H9">
        <v>2005</v>
      </c>
      <c r="I9" t="s">
        <v>72</v>
      </c>
      <c r="J9">
        <v>23</v>
      </c>
      <c r="K9">
        <v>113</v>
      </c>
      <c r="L9">
        <v>23537170</v>
      </c>
    </row>
    <row r="10" spans="1:13" x14ac:dyDescent="0.2">
      <c r="A10" t="s">
        <v>110</v>
      </c>
      <c r="B10" t="s">
        <v>113</v>
      </c>
      <c r="C10" t="s">
        <v>28</v>
      </c>
      <c r="D10" t="s">
        <v>114</v>
      </c>
      <c r="E10">
        <v>9.7836800000000004</v>
      </c>
      <c r="F10">
        <v>2.0440499999999999</v>
      </c>
      <c r="G10">
        <v>2005</v>
      </c>
      <c r="H10">
        <v>2005</v>
      </c>
      <c r="I10" t="s">
        <v>71</v>
      </c>
      <c r="J10">
        <v>65</v>
      </c>
      <c r="K10">
        <v>113</v>
      </c>
      <c r="L10">
        <v>23537170</v>
      </c>
      <c r="M10" t="s">
        <v>337</v>
      </c>
    </row>
    <row r="11" spans="1:13" x14ac:dyDescent="0.2">
      <c r="A11" t="s">
        <v>110</v>
      </c>
      <c r="B11" t="s">
        <v>113</v>
      </c>
      <c r="C11" t="s">
        <v>28</v>
      </c>
      <c r="D11" t="s">
        <v>114</v>
      </c>
      <c r="E11">
        <v>9.7836800000000004</v>
      </c>
      <c r="F11">
        <v>2.0440499999999999</v>
      </c>
      <c r="G11">
        <v>2005</v>
      </c>
      <c r="H11">
        <v>2005</v>
      </c>
      <c r="I11" t="s">
        <v>76</v>
      </c>
      <c r="J11">
        <v>17</v>
      </c>
      <c r="K11">
        <v>113</v>
      </c>
      <c r="L11">
        <v>23537170</v>
      </c>
    </row>
    <row r="12" spans="1:13" x14ac:dyDescent="0.2">
      <c r="A12" t="s">
        <v>110</v>
      </c>
      <c r="B12" t="s">
        <v>113</v>
      </c>
      <c r="C12" t="s">
        <v>28</v>
      </c>
      <c r="D12" t="s">
        <v>114</v>
      </c>
      <c r="E12">
        <v>9.7836800000000004</v>
      </c>
      <c r="F12">
        <v>2.0440499999999999</v>
      </c>
      <c r="G12">
        <v>2005</v>
      </c>
      <c r="H12">
        <v>2005</v>
      </c>
      <c r="I12" t="s">
        <v>75</v>
      </c>
      <c r="J12">
        <v>33</v>
      </c>
      <c r="K12">
        <v>113</v>
      </c>
      <c r="L12">
        <v>23537170</v>
      </c>
    </row>
    <row r="13" spans="1:13" x14ac:dyDescent="0.2">
      <c r="A13" t="s">
        <v>110</v>
      </c>
      <c r="B13" t="s">
        <v>113</v>
      </c>
      <c r="C13" t="s">
        <v>28</v>
      </c>
      <c r="D13" t="s">
        <v>114</v>
      </c>
      <c r="E13">
        <v>9.7836800000000004</v>
      </c>
      <c r="F13">
        <v>2.0440499999999999</v>
      </c>
      <c r="G13">
        <v>2005</v>
      </c>
      <c r="H13">
        <v>2005</v>
      </c>
      <c r="I13" t="s">
        <v>74</v>
      </c>
      <c r="J13">
        <v>63</v>
      </c>
      <c r="K13">
        <v>113</v>
      </c>
      <c r="L13">
        <v>23537170</v>
      </c>
    </row>
  </sheetData>
  <sortState xmlns:xlrd2="http://schemas.microsoft.com/office/spreadsheetml/2017/richdata2" ref="A2:M13">
    <sortCondition ref="A2:A13"/>
    <sortCondition ref="B2:B13"/>
    <sortCondition ref="G2:G13"/>
    <sortCondition ref="H2:H13"/>
    <sortCondition ref="I2:I13"/>
  </sortState>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0DE8A-B1DD-A24F-B88E-CD7E4D4EA7EB}">
  <dimension ref="A1:M6"/>
  <sheetViews>
    <sheetView workbookViewId="0">
      <selection activeCell="L5" sqref="L5"/>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93</v>
      </c>
      <c r="B2" t="s">
        <v>94</v>
      </c>
      <c r="C2" t="s">
        <v>330</v>
      </c>
      <c r="D2" t="s">
        <v>95</v>
      </c>
      <c r="E2">
        <v>-3.5939199999999998</v>
      </c>
      <c r="F2">
        <v>5.2711800000000002</v>
      </c>
      <c r="G2">
        <v>2005</v>
      </c>
      <c r="H2">
        <v>2005</v>
      </c>
      <c r="I2" t="s">
        <v>71</v>
      </c>
      <c r="J2">
        <v>48</v>
      </c>
      <c r="K2">
        <v>48</v>
      </c>
      <c r="L2">
        <v>22904636</v>
      </c>
    </row>
    <row r="3" spans="1:13" x14ac:dyDescent="0.2">
      <c r="A3" t="s">
        <v>93</v>
      </c>
      <c r="B3" t="s">
        <v>94</v>
      </c>
      <c r="C3" t="s">
        <v>330</v>
      </c>
      <c r="D3" t="s">
        <v>95</v>
      </c>
      <c r="E3">
        <v>-3.5939199999999998</v>
      </c>
      <c r="F3">
        <v>5.2711800000000002</v>
      </c>
      <c r="G3">
        <v>2005</v>
      </c>
      <c r="H3">
        <v>2005</v>
      </c>
      <c r="I3" t="s">
        <v>73</v>
      </c>
      <c r="J3">
        <v>0</v>
      </c>
      <c r="K3">
        <v>48</v>
      </c>
      <c r="L3">
        <v>22904636</v>
      </c>
    </row>
    <row r="4" spans="1:13" x14ac:dyDescent="0.2">
      <c r="A4" t="s">
        <v>93</v>
      </c>
      <c r="B4" t="s">
        <v>96</v>
      </c>
      <c r="C4" t="s">
        <v>330</v>
      </c>
      <c r="D4" t="s">
        <v>97</v>
      </c>
      <c r="E4">
        <v>-3.5178600000000002</v>
      </c>
      <c r="F4">
        <v>5.2872500000000002</v>
      </c>
      <c r="G4">
        <v>2005</v>
      </c>
      <c r="H4">
        <v>2005</v>
      </c>
      <c r="I4" t="s">
        <v>71</v>
      </c>
      <c r="J4">
        <v>40</v>
      </c>
      <c r="K4">
        <v>44</v>
      </c>
      <c r="L4">
        <v>22904636</v>
      </c>
      <c r="M4" t="s">
        <v>338</v>
      </c>
    </row>
    <row r="5" spans="1:13" x14ac:dyDescent="0.2">
      <c r="A5" t="s">
        <v>93</v>
      </c>
      <c r="B5" t="s">
        <v>96</v>
      </c>
      <c r="C5" t="s">
        <v>330</v>
      </c>
      <c r="D5" t="s">
        <v>97</v>
      </c>
      <c r="E5">
        <v>-3.5178600000000002</v>
      </c>
      <c r="F5">
        <v>5.2872500000000002</v>
      </c>
      <c r="G5">
        <v>2005</v>
      </c>
      <c r="H5">
        <v>2005</v>
      </c>
      <c r="I5" t="s">
        <v>73</v>
      </c>
      <c r="J5">
        <v>1</v>
      </c>
      <c r="K5">
        <v>44</v>
      </c>
      <c r="L5">
        <v>22904636</v>
      </c>
    </row>
    <row r="6" spans="1:13" x14ac:dyDescent="0.2">
      <c r="A6" t="s">
        <v>93</v>
      </c>
      <c r="B6" t="s">
        <v>96</v>
      </c>
      <c r="C6" t="s">
        <v>330</v>
      </c>
      <c r="D6" t="s">
        <v>97</v>
      </c>
      <c r="E6">
        <v>-3.5178600000000002</v>
      </c>
      <c r="F6">
        <v>5.2872500000000002</v>
      </c>
      <c r="G6">
        <v>2005</v>
      </c>
      <c r="H6">
        <v>2005</v>
      </c>
      <c r="I6" t="s">
        <v>72</v>
      </c>
      <c r="J6">
        <v>3</v>
      </c>
      <c r="K6">
        <v>44</v>
      </c>
      <c r="L6">
        <v>22904636</v>
      </c>
      <c r="M6" t="s">
        <v>338</v>
      </c>
    </row>
  </sheetData>
  <sortState xmlns:xlrd2="http://schemas.microsoft.com/office/spreadsheetml/2017/richdata2" ref="A2:M5">
    <sortCondition ref="B2:B5"/>
  </sortState>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ADEF3-DBEB-7E40-A2AC-0030453D2B5F}">
  <dimension ref="A1:M12"/>
  <sheetViews>
    <sheetView workbookViewId="0">
      <selection activeCell="C25" sqref="C25"/>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199</v>
      </c>
      <c r="B2" t="s">
        <v>200</v>
      </c>
      <c r="C2" t="s">
        <v>11</v>
      </c>
      <c r="D2" t="s">
        <v>201</v>
      </c>
      <c r="E2">
        <v>39.583300000000001</v>
      </c>
      <c r="F2">
        <v>-4.2333299999999996</v>
      </c>
      <c r="G2">
        <v>2008</v>
      </c>
      <c r="H2">
        <v>2008</v>
      </c>
      <c r="I2" t="s">
        <v>75</v>
      </c>
      <c r="J2">
        <v>6</v>
      </c>
      <c r="K2">
        <v>77</v>
      </c>
      <c r="L2">
        <v>22641431</v>
      </c>
    </row>
    <row r="3" spans="1:13" x14ac:dyDescent="0.2">
      <c r="A3" t="s">
        <v>199</v>
      </c>
      <c r="B3" t="s">
        <v>200</v>
      </c>
      <c r="C3" t="s">
        <v>11</v>
      </c>
      <c r="D3" t="s">
        <v>201</v>
      </c>
      <c r="E3">
        <v>39.583300000000001</v>
      </c>
      <c r="F3">
        <v>-4.2333299999999996</v>
      </c>
      <c r="G3">
        <v>2008</v>
      </c>
      <c r="H3">
        <v>2008</v>
      </c>
      <c r="I3" t="s">
        <v>76</v>
      </c>
      <c r="J3">
        <v>28</v>
      </c>
      <c r="K3">
        <v>77</v>
      </c>
      <c r="L3">
        <v>22641431</v>
      </c>
    </row>
    <row r="4" spans="1:13" x14ac:dyDescent="0.2">
      <c r="A4" t="s">
        <v>199</v>
      </c>
      <c r="B4" t="s">
        <v>200</v>
      </c>
      <c r="C4" t="s">
        <v>11</v>
      </c>
      <c r="D4" t="s">
        <v>201</v>
      </c>
      <c r="E4">
        <v>39.583300000000001</v>
      </c>
      <c r="F4">
        <v>-4.2333299999999996</v>
      </c>
      <c r="G4">
        <v>2008</v>
      </c>
      <c r="H4">
        <v>2008</v>
      </c>
      <c r="I4" t="s">
        <v>74</v>
      </c>
      <c r="J4">
        <v>43</v>
      </c>
      <c r="K4">
        <v>77</v>
      </c>
      <c r="L4">
        <v>22641431</v>
      </c>
    </row>
    <row r="5" spans="1:13" x14ac:dyDescent="0.2">
      <c r="A5" t="s">
        <v>199</v>
      </c>
      <c r="B5" t="s">
        <v>200</v>
      </c>
      <c r="C5" t="s">
        <v>11</v>
      </c>
      <c r="D5" t="s">
        <v>201</v>
      </c>
      <c r="E5">
        <v>39.583300000000001</v>
      </c>
      <c r="F5">
        <v>-4.2333299999999996</v>
      </c>
      <c r="G5">
        <v>2008</v>
      </c>
      <c r="H5">
        <v>2008</v>
      </c>
      <c r="I5" t="s">
        <v>71</v>
      </c>
      <c r="J5">
        <v>32</v>
      </c>
      <c r="K5">
        <v>72</v>
      </c>
      <c r="L5">
        <v>22641431</v>
      </c>
      <c r="M5" t="s">
        <v>339</v>
      </c>
    </row>
    <row r="6" spans="1:13" x14ac:dyDescent="0.2">
      <c r="A6" t="s">
        <v>199</v>
      </c>
      <c r="B6" t="s">
        <v>200</v>
      </c>
      <c r="C6" t="s">
        <v>11</v>
      </c>
      <c r="D6" t="s">
        <v>201</v>
      </c>
      <c r="E6">
        <v>39.583300000000001</v>
      </c>
      <c r="F6">
        <v>-4.2333299999999996</v>
      </c>
      <c r="G6">
        <v>2008</v>
      </c>
      <c r="H6">
        <v>2008</v>
      </c>
      <c r="I6" t="s">
        <v>73</v>
      </c>
      <c r="J6">
        <v>32</v>
      </c>
      <c r="K6">
        <v>72</v>
      </c>
      <c r="L6">
        <v>22641431</v>
      </c>
      <c r="M6" t="s">
        <v>339</v>
      </c>
    </row>
    <row r="7" spans="1:13" x14ac:dyDescent="0.2">
      <c r="A7" t="s">
        <v>199</v>
      </c>
      <c r="B7" t="s">
        <v>200</v>
      </c>
      <c r="C7" t="s">
        <v>11</v>
      </c>
      <c r="D7" t="s">
        <v>201</v>
      </c>
      <c r="E7">
        <v>39.583300000000001</v>
      </c>
      <c r="F7">
        <v>-4.2333299999999996</v>
      </c>
      <c r="G7">
        <v>2008</v>
      </c>
      <c r="H7">
        <v>2008</v>
      </c>
      <c r="I7" t="s">
        <v>72</v>
      </c>
      <c r="J7">
        <v>8</v>
      </c>
      <c r="K7">
        <v>72</v>
      </c>
      <c r="L7">
        <v>22641431</v>
      </c>
      <c r="M7" t="s">
        <v>339</v>
      </c>
    </row>
    <row r="8" spans="1:13" x14ac:dyDescent="0.2">
      <c r="A8" t="s">
        <v>199</v>
      </c>
      <c r="B8" t="s">
        <v>202</v>
      </c>
      <c r="C8" t="s">
        <v>11</v>
      </c>
      <c r="D8" t="s">
        <v>201</v>
      </c>
      <c r="E8">
        <v>39.583300000000001</v>
      </c>
      <c r="F8">
        <v>-4.2333299999999996</v>
      </c>
      <c r="G8">
        <v>1999</v>
      </c>
      <c r="H8">
        <v>1999</v>
      </c>
      <c r="I8" t="s">
        <v>74</v>
      </c>
      <c r="J8">
        <v>53</v>
      </c>
      <c r="K8">
        <v>75</v>
      </c>
      <c r="L8">
        <v>22641431</v>
      </c>
    </row>
    <row r="9" spans="1:13" x14ac:dyDescent="0.2">
      <c r="A9" t="s">
        <v>199</v>
      </c>
      <c r="B9" t="s">
        <v>202</v>
      </c>
      <c r="C9" t="s">
        <v>11</v>
      </c>
      <c r="D9" t="s">
        <v>201</v>
      </c>
      <c r="E9">
        <v>39.583300000000001</v>
      </c>
      <c r="F9">
        <v>-4.2333299999999996</v>
      </c>
      <c r="G9">
        <v>1999</v>
      </c>
      <c r="H9">
        <v>1999</v>
      </c>
      <c r="I9" t="s">
        <v>75</v>
      </c>
      <c r="J9">
        <v>13</v>
      </c>
      <c r="K9">
        <v>75</v>
      </c>
      <c r="L9">
        <v>22641431</v>
      </c>
    </row>
    <row r="10" spans="1:13" x14ac:dyDescent="0.2">
      <c r="A10" t="s">
        <v>199</v>
      </c>
      <c r="B10" t="s">
        <v>202</v>
      </c>
      <c r="C10" t="s">
        <v>11</v>
      </c>
      <c r="D10" t="s">
        <v>201</v>
      </c>
      <c r="E10">
        <v>39.583300000000001</v>
      </c>
      <c r="F10">
        <v>-4.2333299999999996</v>
      </c>
      <c r="G10">
        <v>1999</v>
      </c>
      <c r="H10">
        <v>1999</v>
      </c>
      <c r="I10" t="s">
        <v>76</v>
      </c>
      <c r="J10">
        <v>9</v>
      </c>
      <c r="K10">
        <v>75</v>
      </c>
      <c r="L10">
        <v>22641431</v>
      </c>
    </row>
    <row r="11" spans="1:13" x14ac:dyDescent="0.2">
      <c r="A11" t="s">
        <v>199</v>
      </c>
      <c r="B11" t="s">
        <v>202</v>
      </c>
      <c r="C11" t="s">
        <v>11</v>
      </c>
      <c r="D11" t="s">
        <v>201</v>
      </c>
      <c r="E11">
        <v>39.583300000000001</v>
      </c>
      <c r="F11">
        <v>-4.2333299999999996</v>
      </c>
      <c r="G11">
        <v>1999</v>
      </c>
      <c r="H11">
        <v>1999</v>
      </c>
      <c r="I11" t="s">
        <v>71</v>
      </c>
      <c r="J11">
        <v>49</v>
      </c>
      <c r="K11">
        <v>65</v>
      </c>
      <c r="L11">
        <v>22641431</v>
      </c>
      <c r="M11" t="s">
        <v>339</v>
      </c>
    </row>
    <row r="12" spans="1:13" x14ac:dyDescent="0.2">
      <c r="A12" t="s">
        <v>199</v>
      </c>
      <c r="B12" t="s">
        <v>202</v>
      </c>
      <c r="C12" t="s">
        <v>11</v>
      </c>
      <c r="D12" t="s">
        <v>201</v>
      </c>
      <c r="E12">
        <v>39.583300000000001</v>
      </c>
      <c r="F12">
        <v>-4.2333299999999996</v>
      </c>
      <c r="G12">
        <v>1999</v>
      </c>
      <c r="H12">
        <v>1999</v>
      </c>
      <c r="I12" t="s">
        <v>73</v>
      </c>
      <c r="J12">
        <v>16</v>
      </c>
      <c r="K12">
        <v>65</v>
      </c>
      <c r="L12">
        <v>22641431</v>
      </c>
      <c r="M12" t="s">
        <v>339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6BAD-4BF5-0549-86E9-34D507AA3A9F}">
  <dimension ref="A1:M6"/>
  <sheetViews>
    <sheetView workbookViewId="0">
      <selection activeCell="M3" sqref="M3"/>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119</v>
      </c>
      <c r="B2" t="s">
        <v>120</v>
      </c>
      <c r="C2" t="s">
        <v>31</v>
      </c>
      <c r="D2" t="s">
        <v>117</v>
      </c>
      <c r="E2">
        <v>10.240399999999999</v>
      </c>
      <c r="F2">
        <v>-0.701546</v>
      </c>
      <c r="G2">
        <v>2005</v>
      </c>
      <c r="H2">
        <v>2007</v>
      </c>
      <c r="I2" t="s">
        <v>73</v>
      </c>
      <c r="J2">
        <v>3</v>
      </c>
      <c r="K2">
        <v>144</v>
      </c>
      <c r="L2">
        <v>22004584</v>
      </c>
      <c r="M2" t="s">
        <v>340</v>
      </c>
    </row>
    <row r="3" spans="1:13" x14ac:dyDescent="0.2">
      <c r="A3" t="s">
        <v>119</v>
      </c>
      <c r="B3" t="s">
        <v>120</v>
      </c>
      <c r="C3" t="s">
        <v>31</v>
      </c>
      <c r="D3" t="s">
        <v>117</v>
      </c>
      <c r="E3">
        <v>10.240399999999999</v>
      </c>
      <c r="F3">
        <v>-0.701546</v>
      </c>
      <c r="G3">
        <v>2005</v>
      </c>
      <c r="H3">
        <v>2007</v>
      </c>
      <c r="I3" t="s">
        <v>71</v>
      </c>
      <c r="J3">
        <v>140</v>
      </c>
      <c r="K3">
        <v>144</v>
      </c>
      <c r="L3">
        <v>22004584</v>
      </c>
      <c r="M3" t="s">
        <v>340</v>
      </c>
    </row>
    <row r="4" spans="1:13" x14ac:dyDescent="0.2">
      <c r="A4" t="s">
        <v>119</v>
      </c>
      <c r="B4" t="s">
        <v>120</v>
      </c>
      <c r="C4" t="s">
        <v>31</v>
      </c>
      <c r="D4" t="s">
        <v>117</v>
      </c>
      <c r="E4">
        <v>10.240399999999999</v>
      </c>
      <c r="F4">
        <v>-0.701546</v>
      </c>
      <c r="G4">
        <v>2005</v>
      </c>
      <c r="H4">
        <v>2007</v>
      </c>
      <c r="I4" t="s">
        <v>72</v>
      </c>
      <c r="J4">
        <v>1</v>
      </c>
      <c r="K4">
        <v>144</v>
      </c>
      <c r="L4">
        <v>22004584</v>
      </c>
      <c r="M4" t="s">
        <v>340</v>
      </c>
    </row>
    <row r="5" spans="1:13" x14ac:dyDescent="0.2">
      <c r="A5" t="s">
        <v>119</v>
      </c>
      <c r="B5" t="s">
        <v>121</v>
      </c>
      <c r="C5" t="s">
        <v>31</v>
      </c>
      <c r="D5" t="s">
        <v>122</v>
      </c>
      <c r="E5">
        <v>10.240399999999999</v>
      </c>
      <c r="F5">
        <v>-0.701546</v>
      </c>
      <c r="G5">
        <v>1995</v>
      </c>
      <c r="H5">
        <v>2002</v>
      </c>
      <c r="I5" t="s">
        <v>71</v>
      </c>
      <c r="J5">
        <v>215</v>
      </c>
      <c r="K5">
        <v>215</v>
      </c>
      <c r="L5">
        <v>22004584</v>
      </c>
    </row>
    <row r="6" spans="1:13" x14ac:dyDescent="0.2">
      <c r="A6" t="s">
        <v>119</v>
      </c>
      <c r="B6" t="s">
        <v>121</v>
      </c>
      <c r="C6" t="s">
        <v>31</v>
      </c>
      <c r="D6" t="s">
        <v>122</v>
      </c>
      <c r="E6">
        <v>10.240399999999999</v>
      </c>
      <c r="F6">
        <v>-0.701546</v>
      </c>
      <c r="G6">
        <v>1995</v>
      </c>
      <c r="H6">
        <v>2002</v>
      </c>
      <c r="I6" t="s">
        <v>73</v>
      </c>
      <c r="J6">
        <v>0</v>
      </c>
      <c r="K6">
        <v>215</v>
      </c>
      <c r="L6">
        <v>22004584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16C7-379E-4C44-A47D-CE90102022C5}">
  <dimension ref="A1:M4"/>
  <sheetViews>
    <sheetView workbookViewId="0">
      <selection activeCell="H24" sqref="H24"/>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208</v>
      </c>
      <c r="B2" t="s">
        <v>209</v>
      </c>
      <c r="C2" t="s">
        <v>47</v>
      </c>
      <c r="D2" t="s">
        <v>210</v>
      </c>
      <c r="E2">
        <v>30.087399999999999</v>
      </c>
      <c r="F2">
        <v>16.085799999999999</v>
      </c>
      <c r="G2">
        <v>2008</v>
      </c>
      <c r="H2">
        <v>2008</v>
      </c>
      <c r="I2" t="s">
        <v>76</v>
      </c>
      <c r="J2">
        <v>9</v>
      </c>
      <c r="K2">
        <v>89</v>
      </c>
      <c r="L2">
        <v>21896916</v>
      </c>
      <c r="M2" t="s">
        <v>341</v>
      </c>
    </row>
    <row r="3" spans="1:13" x14ac:dyDescent="0.2">
      <c r="A3" t="s">
        <v>208</v>
      </c>
      <c r="B3" t="s">
        <v>209</v>
      </c>
      <c r="C3" t="s">
        <v>47</v>
      </c>
      <c r="D3" t="s">
        <v>210</v>
      </c>
      <c r="E3">
        <v>30.087399999999999</v>
      </c>
      <c r="F3">
        <v>16.085799999999999</v>
      </c>
      <c r="G3">
        <v>2008</v>
      </c>
      <c r="H3">
        <v>2008</v>
      </c>
      <c r="I3" t="s">
        <v>74</v>
      </c>
      <c r="J3">
        <v>76</v>
      </c>
      <c r="K3">
        <v>89</v>
      </c>
      <c r="L3">
        <v>21896916</v>
      </c>
      <c r="M3" t="s">
        <v>341</v>
      </c>
    </row>
    <row r="4" spans="1:13" x14ac:dyDescent="0.2">
      <c r="A4" t="s">
        <v>208</v>
      </c>
      <c r="B4" t="s">
        <v>209</v>
      </c>
      <c r="C4" t="s">
        <v>47</v>
      </c>
      <c r="D4" t="s">
        <v>210</v>
      </c>
      <c r="E4">
        <v>30.087399999999999</v>
      </c>
      <c r="F4">
        <v>16.085799999999999</v>
      </c>
      <c r="G4">
        <v>2008</v>
      </c>
      <c r="H4">
        <v>2008</v>
      </c>
      <c r="I4" t="s">
        <v>75</v>
      </c>
      <c r="J4">
        <v>4</v>
      </c>
      <c r="K4">
        <v>89</v>
      </c>
      <c r="L4">
        <v>21896916</v>
      </c>
      <c r="M4" t="s">
        <v>341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77EE-97A2-414C-9D4F-A2D896658FDF}">
  <dimension ref="A1:M17"/>
  <sheetViews>
    <sheetView workbookViewId="0">
      <selection activeCell="K25" sqref="K25"/>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128</v>
      </c>
      <c r="B2" t="s">
        <v>129</v>
      </c>
      <c r="C2" t="s">
        <v>10</v>
      </c>
      <c r="D2" t="s">
        <v>130</v>
      </c>
      <c r="E2">
        <v>-1.5833299999999999</v>
      </c>
      <c r="F2">
        <v>6.45</v>
      </c>
      <c r="G2">
        <v>2007</v>
      </c>
      <c r="H2">
        <v>2008</v>
      </c>
      <c r="I2" t="s">
        <v>71</v>
      </c>
      <c r="J2">
        <v>26</v>
      </c>
      <c r="K2">
        <v>40</v>
      </c>
      <c r="L2">
        <v>21288822</v>
      </c>
    </row>
    <row r="3" spans="1:13" x14ac:dyDescent="0.2">
      <c r="A3" t="s">
        <v>128</v>
      </c>
      <c r="B3" t="s">
        <v>129</v>
      </c>
      <c r="C3" t="s">
        <v>10</v>
      </c>
      <c r="D3" t="s">
        <v>130</v>
      </c>
      <c r="E3">
        <v>-1.5833299999999999</v>
      </c>
      <c r="F3">
        <v>6.45</v>
      </c>
      <c r="G3">
        <v>2007</v>
      </c>
      <c r="H3">
        <v>2008</v>
      </c>
      <c r="I3" t="s">
        <v>73</v>
      </c>
      <c r="J3">
        <v>14</v>
      </c>
      <c r="K3">
        <v>40</v>
      </c>
      <c r="L3">
        <v>21288822</v>
      </c>
    </row>
    <row r="4" spans="1:13" x14ac:dyDescent="0.2">
      <c r="A4" t="s">
        <v>128</v>
      </c>
      <c r="B4" t="s">
        <v>129</v>
      </c>
      <c r="C4" t="s">
        <v>10</v>
      </c>
      <c r="D4" t="s">
        <v>130</v>
      </c>
      <c r="E4">
        <v>-1.5833299999999999</v>
      </c>
      <c r="F4">
        <v>6.45</v>
      </c>
      <c r="G4">
        <v>2007</v>
      </c>
      <c r="H4">
        <v>2008</v>
      </c>
      <c r="I4" t="s">
        <v>74</v>
      </c>
      <c r="J4">
        <v>15</v>
      </c>
      <c r="K4">
        <v>41</v>
      </c>
      <c r="L4">
        <v>21288822</v>
      </c>
    </row>
    <row r="5" spans="1:13" x14ac:dyDescent="0.2">
      <c r="A5" t="s">
        <v>128</v>
      </c>
      <c r="B5" t="s">
        <v>129</v>
      </c>
      <c r="C5" t="s">
        <v>10</v>
      </c>
      <c r="D5" t="s">
        <v>130</v>
      </c>
      <c r="E5">
        <v>-1.5833299999999999</v>
      </c>
      <c r="F5">
        <v>6.45</v>
      </c>
      <c r="G5">
        <v>2007</v>
      </c>
      <c r="H5">
        <v>2008</v>
      </c>
      <c r="I5" t="s">
        <v>76</v>
      </c>
      <c r="J5">
        <v>26</v>
      </c>
      <c r="K5">
        <v>41</v>
      </c>
      <c r="L5">
        <v>21288822</v>
      </c>
    </row>
    <row r="6" spans="1:13" x14ac:dyDescent="0.2">
      <c r="A6" t="s">
        <v>128</v>
      </c>
      <c r="B6" t="s">
        <v>135</v>
      </c>
      <c r="C6" t="s">
        <v>10</v>
      </c>
      <c r="D6" t="s">
        <v>136</v>
      </c>
      <c r="E6">
        <v>-1.2472300000000001</v>
      </c>
      <c r="F6">
        <v>5.1050599999999999</v>
      </c>
      <c r="G6">
        <v>2007</v>
      </c>
      <c r="H6">
        <v>2008</v>
      </c>
      <c r="I6" t="s">
        <v>74</v>
      </c>
      <c r="J6">
        <v>21</v>
      </c>
      <c r="K6">
        <v>47</v>
      </c>
      <c r="L6">
        <v>21288822</v>
      </c>
    </row>
    <row r="7" spans="1:13" x14ac:dyDescent="0.2">
      <c r="A7" t="s">
        <v>128</v>
      </c>
      <c r="B7" t="s">
        <v>135</v>
      </c>
      <c r="C7" t="s">
        <v>10</v>
      </c>
      <c r="D7" t="s">
        <v>136</v>
      </c>
      <c r="E7">
        <v>-1.2472300000000001</v>
      </c>
      <c r="F7">
        <v>5.1050599999999999</v>
      </c>
      <c r="G7">
        <v>2007</v>
      </c>
      <c r="H7">
        <v>2008</v>
      </c>
      <c r="I7" t="s">
        <v>76</v>
      </c>
      <c r="J7">
        <v>26</v>
      </c>
      <c r="K7">
        <v>47</v>
      </c>
      <c r="L7">
        <v>21288822</v>
      </c>
    </row>
    <row r="8" spans="1:13" x14ac:dyDescent="0.2">
      <c r="A8" t="s">
        <v>128</v>
      </c>
      <c r="B8" t="s">
        <v>135</v>
      </c>
      <c r="C8" t="s">
        <v>10</v>
      </c>
      <c r="D8" t="s">
        <v>136</v>
      </c>
      <c r="E8">
        <v>-1.2472300000000001</v>
      </c>
      <c r="F8">
        <v>5.1050599999999999</v>
      </c>
      <c r="G8">
        <v>2007</v>
      </c>
      <c r="H8">
        <v>2008</v>
      </c>
      <c r="I8" t="s">
        <v>71</v>
      </c>
      <c r="J8">
        <v>32</v>
      </c>
      <c r="K8">
        <v>48</v>
      </c>
      <c r="L8">
        <v>21288822</v>
      </c>
    </row>
    <row r="9" spans="1:13" x14ac:dyDescent="0.2">
      <c r="A9" t="s">
        <v>128</v>
      </c>
      <c r="B9" t="s">
        <v>135</v>
      </c>
      <c r="C9" t="s">
        <v>10</v>
      </c>
      <c r="D9" t="s">
        <v>136</v>
      </c>
      <c r="E9">
        <v>-1.2472300000000001</v>
      </c>
      <c r="F9">
        <v>5.1050599999999999</v>
      </c>
      <c r="G9">
        <v>2007</v>
      </c>
      <c r="H9">
        <v>2008</v>
      </c>
      <c r="I9" t="s">
        <v>73</v>
      </c>
      <c r="J9">
        <v>16</v>
      </c>
      <c r="K9">
        <v>48</v>
      </c>
      <c r="L9">
        <v>21288822</v>
      </c>
    </row>
    <row r="10" spans="1:13" x14ac:dyDescent="0.2">
      <c r="A10" t="s">
        <v>128</v>
      </c>
      <c r="B10" t="s">
        <v>144</v>
      </c>
      <c r="C10" t="s">
        <v>10</v>
      </c>
      <c r="D10" t="s">
        <v>143</v>
      </c>
      <c r="E10">
        <v>-1.0902799999999999</v>
      </c>
      <c r="F10">
        <v>10.8847</v>
      </c>
      <c r="G10">
        <v>2007</v>
      </c>
      <c r="H10">
        <v>2008</v>
      </c>
      <c r="I10" t="s">
        <v>71</v>
      </c>
      <c r="J10">
        <v>11</v>
      </c>
      <c r="K10">
        <v>41</v>
      </c>
      <c r="L10">
        <v>21288822</v>
      </c>
    </row>
    <row r="11" spans="1:13" x14ac:dyDescent="0.2">
      <c r="A11" t="s">
        <v>128</v>
      </c>
      <c r="B11" t="s">
        <v>144</v>
      </c>
      <c r="C11" t="s">
        <v>10</v>
      </c>
      <c r="D11" t="s">
        <v>143</v>
      </c>
      <c r="E11">
        <v>-1.0902799999999999</v>
      </c>
      <c r="F11">
        <v>10.8847</v>
      </c>
      <c r="G11">
        <v>2007</v>
      </c>
      <c r="H11">
        <v>2008</v>
      </c>
      <c r="I11" t="s">
        <v>73</v>
      </c>
      <c r="J11">
        <v>30</v>
      </c>
      <c r="K11">
        <v>41</v>
      </c>
      <c r="L11">
        <v>21288822</v>
      </c>
    </row>
    <row r="12" spans="1:13" x14ac:dyDescent="0.2">
      <c r="A12" t="s">
        <v>128</v>
      </c>
      <c r="B12" t="s">
        <v>144</v>
      </c>
      <c r="C12" t="s">
        <v>10</v>
      </c>
      <c r="D12" t="s">
        <v>143</v>
      </c>
      <c r="E12">
        <v>-1.0902799999999999</v>
      </c>
      <c r="F12">
        <v>10.8847</v>
      </c>
      <c r="G12">
        <v>2007</v>
      </c>
      <c r="H12">
        <v>2008</v>
      </c>
      <c r="I12" t="s">
        <v>74</v>
      </c>
      <c r="J12">
        <v>12</v>
      </c>
      <c r="K12">
        <v>40</v>
      </c>
      <c r="L12">
        <v>21288822</v>
      </c>
    </row>
    <row r="13" spans="1:13" x14ac:dyDescent="0.2">
      <c r="A13" t="s">
        <v>128</v>
      </c>
      <c r="B13" t="s">
        <v>144</v>
      </c>
      <c r="C13" t="s">
        <v>10</v>
      </c>
      <c r="D13" t="s">
        <v>143</v>
      </c>
      <c r="E13">
        <v>-1.0902799999999999</v>
      </c>
      <c r="F13">
        <v>10.8847</v>
      </c>
      <c r="G13">
        <v>2007</v>
      </c>
      <c r="H13">
        <v>2008</v>
      </c>
      <c r="I13" t="s">
        <v>76</v>
      </c>
      <c r="J13">
        <v>28</v>
      </c>
      <c r="K13">
        <v>40</v>
      </c>
      <c r="L13">
        <v>21288822</v>
      </c>
    </row>
    <row r="14" spans="1:13" x14ac:dyDescent="0.2">
      <c r="A14" t="s">
        <v>128</v>
      </c>
      <c r="B14" t="s">
        <v>147</v>
      </c>
      <c r="C14" t="s">
        <v>10</v>
      </c>
      <c r="D14" t="s">
        <v>148</v>
      </c>
      <c r="E14">
        <v>-2.3333300000000001</v>
      </c>
      <c r="F14">
        <v>7.3333300000000001</v>
      </c>
      <c r="G14">
        <v>2007</v>
      </c>
      <c r="H14">
        <v>2008</v>
      </c>
      <c r="I14" t="s">
        <v>71</v>
      </c>
      <c r="J14">
        <v>16</v>
      </c>
      <c r="K14">
        <v>49</v>
      </c>
      <c r="L14">
        <v>21288822</v>
      </c>
    </row>
    <row r="15" spans="1:13" x14ac:dyDescent="0.2">
      <c r="A15" t="s">
        <v>128</v>
      </c>
      <c r="B15" t="s">
        <v>147</v>
      </c>
      <c r="C15" t="s">
        <v>10</v>
      </c>
      <c r="D15" t="s">
        <v>148</v>
      </c>
      <c r="E15">
        <v>-2.3333300000000001</v>
      </c>
      <c r="F15">
        <v>7.3333300000000001</v>
      </c>
      <c r="G15">
        <v>2007</v>
      </c>
      <c r="H15">
        <v>2008</v>
      </c>
      <c r="I15" t="s">
        <v>73</v>
      </c>
      <c r="J15">
        <v>33</v>
      </c>
      <c r="K15">
        <v>49</v>
      </c>
      <c r="L15">
        <v>21288822</v>
      </c>
    </row>
    <row r="16" spans="1:13" x14ac:dyDescent="0.2">
      <c r="A16" t="s">
        <v>128</v>
      </c>
      <c r="B16" t="s">
        <v>147</v>
      </c>
      <c r="C16" t="s">
        <v>10</v>
      </c>
      <c r="D16" t="s">
        <v>148</v>
      </c>
      <c r="E16">
        <v>-2.3333300000000001</v>
      </c>
      <c r="F16">
        <v>7.3333300000000001</v>
      </c>
      <c r="G16">
        <v>2007</v>
      </c>
      <c r="H16">
        <v>2008</v>
      </c>
      <c r="I16" t="s">
        <v>74</v>
      </c>
      <c r="J16">
        <v>21</v>
      </c>
      <c r="K16">
        <v>48</v>
      </c>
      <c r="L16">
        <v>21288822</v>
      </c>
    </row>
    <row r="17" spans="1:13" x14ac:dyDescent="0.2">
      <c r="A17" t="s">
        <v>128</v>
      </c>
      <c r="B17" t="s">
        <v>147</v>
      </c>
      <c r="C17" t="s">
        <v>10</v>
      </c>
      <c r="D17" t="s">
        <v>148</v>
      </c>
      <c r="E17">
        <v>-2.3333300000000001</v>
      </c>
      <c r="F17">
        <v>7.3333300000000001</v>
      </c>
      <c r="G17">
        <v>2007</v>
      </c>
      <c r="H17">
        <v>2008</v>
      </c>
      <c r="I17" t="s">
        <v>76</v>
      </c>
      <c r="J17">
        <v>27</v>
      </c>
      <c r="K17">
        <v>48</v>
      </c>
      <c r="L17">
        <v>21288822</v>
      </c>
      <c r="M17" t="s">
        <v>342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C6037-26B8-134B-AA87-62422249F141}">
  <dimension ref="A1:M25"/>
  <sheetViews>
    <sheetView workbookViewId="0">
      <selection activeCell="L27" sqref="L27"/>
    </sheetView>
  </sheetViews>
  <sheetFormatPr baseColWidth="10" defaultRowHeight="16" x14ac:dyDescent="0.2"/>
  <sheetData>
    <row r="1" spans="1:13" x14ac:dyDescent="0.2">
      <c r="A1" t="s">
        <v>65</v>
      </c>
      <c r="B1" t="s">
        <v>66</v>
      </c>
      <c r="C1" t="s">
        <v>0</v>
      </c>
      <c r="D1" t="s">
        <v>1</v>
      </c>
      <c r="E1" t="s">
        <v>5</v>
      </c>
      <c r="F1" t="s">
        <v>4</v>
      </c>
      <c r="G1" t="s">
        <v>67</v>
      </c>
      <c r="H1" t="s">
        <v>68</v>
      </c>
      <c r="I1" t="s">
        <v>64</v>
      </c>
      <c r="J1" t="s">
        <v>2</v>
      </c>
      <c r="K1" t="s">
        <v>3</v>
      </c>
      <c r="L1" t="s">
        <v>6</v>
      </c>
      <c r="M1" t="s">
        <v>62</v>
      </c>
    </row>
    <row r="2" spans="1:13" x14ac:dyDescent="0.2">
      <c r="A2" t="s">
        <v>176</v>
      </c>
      <c r="B2" t="s">
        <v>177</v>
      </c>
      <c r="C2" t="s">
        <v>11</v>
      </c>
      <c r="D2" t="s">
        <v>178</v>
      </c>
      <c r="E2">
        <v>35.133299999999998</v>
      </c>
      <c r="F2">
        <v>-8.3333299999999999E-2</v>
      </c>
      <c r="G2">
        <v>2006</v>
      </c>
      <c r="H2">
        <v>2006</v>
      </c>
      <c r="I2" t="s">
        <v>71</v>
      </c>
      <c r="J2">
        <v>22</v>
      </c>
      <c r="K2">
        <v>28</v>
      </c>
      <c r="L2">
        <v>19398039</v>
      </c>
      <c r="M2" t="s">
        <v>343</v>
      </c>
    </row>
    <row r="3" spans="1:13" x14ac:dyDescent="0.2">
      <c r="A3" t="s">
        <v>176</v>
      </c>
      <c r="B3" t="s">
        <v>177</v>
      </c>
      <c r="C3" t="s">
        <v>11</v>
      </c>
      <c r="D3" t="s">
        <v>178</v>
      </c>
      <c r="E3">
        <v>35.133299999999998</v>
      </c>
      <c r="F3">
        <v>-8.3333299999999999E-2</v>
      </c>
      <c r="G3">
        <v>2006</v>
      </c>
      <c r="H3">
        <v>2006</v>
      </c>
      <c r="I3" t="s">
        <v>73</v>
      </c>
      <c r="J3">
        <v>3</v>
      </c>
      <c r="K3">
        <v>28</v>
      </c>
      <c r="L3">
        <v>19398039</v>
      </c>
    </row>
    <row r="4" spans="1:13" x14ac:dyDescent="0.2">
      <c r="A4" t="s">
        <v>176</v>
      </c>
      <c r="B4" t="s">
        <v>177</v>
      </c>
      <c r="C4" t="s">
        <v>11</v>
      </c>
      <c r="D4" t="s">
        <v>178</v>
      </c>
      <c r="E4">
        <v>35.133299999999998</v>
      </c>
      <c r="F4">
        <v>-8.3333299999999999E-2</v>
      </c>
      <c r="G4">
        <v>2006</v>
      </c>
      <c r="H4">
        <v>2006</v>
      </c>
      <c r="I4" t="s">
        <v>72</v>
      </c>
      <c r="J4">
        <v>3</v>
      </c>
      <c r="K4">
        <v>28</v>
      </c>
      <c r="L4">
        <v>19398039</v>
      </c>
    </row>
    <row r="5" spans="1:13" x14ac:dyDescent="0.2">
      <c r="A5" t="s">
        <v>176</v>
      </c>
      <c r="B5" t="s">
        <v>177</v>
      </c>
      <c r="C5" t="s">
        <v>11</v>
      </c>
      <c r="D5" t="s">
        <v>178</v>
      </c>
      <c r="E5">
        <v>35.133299999999998</v>
      </c>
      <c r="F5">
        <v>-8.3333299999999999E-2</v>
      </c>
      <c r="G5">
        <v>2006</v>
      </c>
      <c r="H5">
        <v>2006</v>
      </c>
      <c r="I5" t="s">
        <v>76</v>
      </c>
      <c r="J5">
        <v>8</v>
      </c>
      <c r="K5">
        <v>28</v>
      </c>
      <c r="L5">
        <v>19398039</v>
      </c>
      <c r="M5" t="s">
        <v>343</v>
      </c>
    </row>
    <row r="6" spans="1:13" x14ac:dyDescent="0.2">
      <c r="A6" t="s">
        <v>176</v>
      </c>
      <c r="B6" t="s">
        <v>177</v>
      </c>
      <c r="C6" t="s">
        <v>11</v>
      </c>
      <c r="D6" t="s">
        <v>178</v>
      </c>
      <c r="E6">
        <v>35.133299999999998</v>
      </c>
      <c r="F6">
        <v>-8.3333299999999999E-2</v>
      </c>
      <c r="G6">
        <v>2006</v>
      </c>
      <c r="H6">
        <v>2006</v>
      </c>
      <c r="I6" t="s">
        <v>74</v>
      </c>
      <c r="J6">
        <v>10</v>
      </c>
      <c r="K6">
        <v>28</v>
      </c>
      <c r="L6">
        <v>19398039</v>
      </c>
    </row>
    <row r="7" spans="1:13" x14ac:dyDescent="0.2">
      <c r="A7" t="s">
        <v>176</v>
      </c>
      <c r="B7" t="s">
        <v>177</v>
      </c>
      <c r="C7" t="s">
        <v>11</v>
      </c>
      <c r="D7" t="s">
        <v>178</v>
      </c>
      <c r="E7">
        <v>35.133299999999998</v>
      </c>
      <c r="F7">
        <v>-8.3333299999999999E-2</v>
      </c>
      <c r="G7">
        <v>2006</v>
      </c>
      <c r="H7">
        <v>2006</v>
      </c>
      <c r="I7" t="s">
        <v>75</v>
      </c>
      <c r="J7">
        <v>10</v>
      </c>
      <c r="K7">
        <v>28</v>
      </c>
      <c r="L7">
        <v>19398039</v>
      </c>
    </row>
    <row r="8" spans="1:13" x14ac:dyDescent="0.2">
      <c r="A8" t="s">
        <v>176</v>
      </c>
      <c r="B8" t="s">
        <v>179</v>
      </c>
      <c r="C8" t="s">
        <v>11</v>
      </c>
      <c r="D8" t="s">
        <v>180</v>
      </c>
      <c r="E8">
        <v>34.7562</v>
      </c>
      <c r="F8">
        <v>0.16469900000000001</v>
      </c>
      <c r="G8">
        <v>2006</v>
      </c>
      <c r="H8">
        <v>2006</v>
      </c>
      <c r="I8" t="s">
        <v>73</v>
      </c>
      <c r="J8">
        <v>5</v>
      </c>
      <c r="K8">
        <v>33</v>
      </c>
      <c r="L8">
        <v>19398039</v>
      </c>
    </row>
    <row r="9" spans="1:13" x14ac:dyDescent="0.2">
      <c r="A9" t="s">
        <v>176</v>
      </c>
      <c r="B9" t="s">
        <v>179</v>
      </c>
      <c r="C9" t="s">
        <v>11</v>
      </c>
      <c r="D9" t="s">
        <v>180</v>
      </c>
      <c r="E9">
        <v>34.7562</v>
      </c>
      <c r="F9">
        <v>0.16469900000000001</v>
      </c>
      <c r="G9">
        <v>2006</v>
      </c>
      <c r="H9">
        <v>2006</v>
      </c>
      <c r="I9" t="s">
        <v>72</v>
      </c>
      <c r="J9">
        <v>2</v>
      </c>
      <c r="K9">
        <v>33</v>
      </c>
      <c r="L9">
        <v>19398039</v>
      </c>
    </row>
    <row r="10" spans="1:13" x14ac:dyDescent="0.2">
      <c r="A10" t="s">
        <v>176</v>
      </c>
      <c r="B10" t="s">
        <v>179</v>
      </c>
      <c r="C10" t="s">
        <v>11</v>
      </c>
      <c r="D10" t="s">
        <v>180</v>
      </c>
      <c r="E10">
        <v>34.7562</v>
      </c>
      <c r="F10">
        <v>0.16469900000000001</v>
      </c>
      <c r="G10">
        <v>2006</v>
      </c>
      <c r="H10">
        <v>2006</v>
      </c>
      <c r="I10" t="s">
        <v>71</v>
      </c>
      <c r="J10">
        <v>26</v>
      </c>
      <c r="K10">
        <v>33</v>
      </c>
      <c r="L10">
        <v>19398039</v>
      </c>
    </row>
    <row r="11" spans="1:13" x14ac:dyDescent="0.2">
      <c r="A11" t="s">
        <v>176</v>
      </c>
      <c r="B11" t="s">
        <v>179</v>
      </c>
      <c r="C11" t="s">
        <v>11</v>
      </c>
      <c r="D11" t="s">
        <v>180</v>
      </c>
      <c r="E11">
        <v>34.7562</v>
      </c>
      <c r="F11">
        <v>0.16469900000000001</v>
      </c>
      <c r="G11">
        <v>2006</v>
      </c>
      <c r="H11">
        <v>2006</v>
      </c>
      <c r="I11" t="s">
        <v>76</v>
      </c>
      <c r="J11">
        <v>10</v>
      </c>
      <c r="K11">
        <v>33</v>
      </c>
      <c r="L11">
        <v>19398039</v>
      </c>
    </row>
    <row r="12" spans="1:13" x14ac:dyDescent="0.2">
      <c r="A12" t="s">
        <v>176</v>
      </c>
      <c r="B12" t="s">
        <v>179</v>
      </c>
      <c r="C12" t="s">
        <v>11</v>
      </c>
      <c r="D12" t="s">
        <v>180</v>
      </c>
      <c r="E12">
        <v>34.7562</v>
      </c>
      <c r="F12">
        <v>0.16469900000000001</v>
      </c>
      <c r="G12">
        <v>2006</v>
      </c>
      <c r="H12">
        <v>2006</v>
      </c>
      <c r="I12" t="s">
        <v>74</v>
      </c>
      <c r="J12">
        <v>8</v>
      </c>
      <c r="K12">
        <v>33</v>
      </c>
      <c r="L12">
        <v>19398039</v>
      </c>
    </row>
    <row r="13" spans="1:13" x14ac:dyDescent="0.2">
      <c r="A13" t="s">
        <v>176</v>
      </c>
      <c r="B13" t="s">
        <v>179</v>
      </c>
      <c r="C13" t="s">
        <v>11</v>
      </c>
      <c r="D13" t="s">
        <v>180</v>
      </c>
      <c r="E13">
        <v>34.7562</v>
      </c>
      <c r="F13">
        <v>0.16469900000000001</v>
      </c>
      <c r="G13">
        <v>2006</v>
      </c>
      <c r="H13">
        <v>2006</v>
      </c>
      <c r="I13" t="s">
        <v>75</v>
      </c>
      <c r="J13">
        <v>15</v>
      </c>
      <c r="K13">
        <v>33</v>
      </c>
      <c r="L13">
        <v>19398039</v>
      </c>
    </row>
    <row r="14" spans="1:13" x14ac:dyDescent="0.2">
      <c r="A14" t="s">
        <v>176</v>
      </c>
      <c r="B14" t="s">
        <v>189</v>
      </c>
      <c r="C14" t="s">
        <v>11</v>
      </c>
      <c r="D14" t="s">
        <v>190</v>
      </c>
      <c r="E14">
        <v>34.6663</v>
      </c>
      <c r="F14">
        <v>-7.4871599999999996E-2</v>
      </c>
      <c r="G14">
        <v>2006</v>
      </c>
      <c r="H14">
        <v>2006</v>
      </c>
      <c r="I14" t="s">
        <v>73</v>
      </c>
      <c r="J14">
        <v>7</v>
      </c>
      <c r="K14">
        <v>68</v>
      </c>
      <c r="L14">
        <v>19398039</v>
      </c>
    </row>
    <row r="15" spans="1:13" x14ac:dyDescent="0.2">
      <c r="A15" t="s">
        <v>176</v>
      </c>
      <c r="B15" t="s">
        <v>189</v>
      </c>
      <c r="C15" t="s">
        <v>11</v>
      </c>
      <c r="D15" t="s">
        <v>190</v>
      </c>
      <c r="E15">
        <v>34.6663</v>
      </c>
      <c r="F15">
        <v>-7.4871599999999996E-2</v>
      </c>
      <c r="G15">
        <v>2006</v>
      </c>
      <c r="H15">
        <v>2006</v>
      </c>
      <c r="I15" t="s">
        <v>72</v>
      </c>
      <c r="J15">
        <v>27</v>
      </c>
      <c r="K15">
        <v>68</v>
      </c>
      <c r="L15">
        <v>19398039</v>
      </c>
    </row>
    <row r="16" spans="1:13" x14ac:dyDescent="0.2">
      <c r="A16" t="s">
        <v>176</v>
      </c>
      <c r="B16" t="s">
        <v>189</v>
      </c>
      <c r="C16" t="s">
        <v>11</v>
      </c>
      <c r="D16" t="s">
        <v>190</v>
      </c>
      <c r="E16">
        <v>34.6663</v>
      </c>
      <c r="F16">
        <v>-7.4871599999999996E-2</v>
      </c>
      <c r="G16">
        <v>2006</v>
      </c>
      <c r="H16">
        <v>2006</v>
      </c>
      <c r="I16" t="s">
        <v>71</v>
      </c>
      <c r="J16">
        <v>34</v>
      </c>
      <c r="K16">
        <v>68</v>
      </c>
      <c r="L16">
        <v>19398039</v>
      </c>
    </row>
    <row r="17" spans="1:13" x14ac:dyDescent="0.2">
      <c r="A17" t="s">
        <v>176</v>
      </c>
      <c r="B17" t="s">
        <v>189</v>
      </c>
      <c r="C17" t="s">
        <v>11</v>
      </c>
      <c r="D17" t="s">
        <v>190</v>
      </c>
      <c r="E17">
        <v>34.6663</v>
      </c>
      <c r="F17">
        <v>-7.4871599999999996E-2</v>
      </c>
      <c r="G17">
        <v>2006</v>
      </c>
      <c r="H17">
        <v>2006</v>
      </c>
      <c r="I17" t="s">
        <v>76</v>
      </c>
      <c r="J17">
        <v>13</v>
      </c>
      <c r="K17">
        <v>68</v>
      </c>
      <c r="L17">
        <v>19398039</v>
      </c>
    </row>
    <row r="18" spans="1:13" x14ac:dyDescent="0.2">
      <c r="A18" t="s">
        <v>176</v>
      </c>
      <c r="B18" t="s">
        <v>189</v>
      </c>
      <c r="C18" t="s">
        <v>11</v>
      </c>
      <c r="D18" t="s">
        <v>190</v>
      </c>
      <c r="E18">
        <v>34.6663</v>
      </c>
      <c r="F18">
        <v>-7.4871599999999996E-2</v>
      </c>
      <c r="G18">
        <v>2006</v>
      </c>
      <c r="H18">
        <v>2006</v>
      </c>
      <c r="I18" t="s">
        <v>74</v>
      </c>
      <c r="J18">
        <v>18</v>
      </c>
      <c r="K18">
        <v>68</v>
      </c>
      <c r="L18">
        <v>19398039</v>
      </c>
    </row>
    <row r="19" spans="1:13" x14ac:dyDescent="0.2">
      <c r="A19" t="s">
        <v>176</v>
      </c>
      <c r="B19" t="s">
        <v>189</v>
      </c>
      <c r="C19" t="s">
        <v>11</v>
      </c>
      <c r="D19" t="s">
        <v>190</v>
      </c>
      <c r="E19">
        <v>34.6663</v>
      </c>
      <c r="F19">
        <v>-7.4871599999999996E-2</v>
      </c>
      <c r="G19">
        <v>2006</v>
      </c>
      <c r="H19">
        <v>2006</v>
      </c>
      <c r="I19" t="s">
        <v>75</v>
      </c>
      <c r="J19">
        <v>37</v>
      </c>
      <c r="K19">
        <v>68</v>
      </c>
      <c r="L19">
        <v>19398039</v>
      </c>
    </row>
    <row r="20" spans="1:13" x14ac:dyDescent="0.2">
      <c r="A20" t="s">
        <v>176</v>
      </c>
      <c r="B20" t="s">
        <v>195</v>
      </c>
      <c r="C20" t="s">
        <v>11</v>
      </c>
      <c r="D20" t="s">
        <v>196</v>
      </c>
      <c r="E20">
        <v>34.976799999999997</v>
      </c>
      <c r="F20">
        <v>-6.0231899999999998E-2</v>
      </c>
      <c r="G20">
        <v>2006</v>
      </c>
      <c r="H20">
        <v>2006</v>
      </c>
      <c r="I20" t="s">
        <v>73</v>
      </c>
      <c r="J20">
        <v>6</v>
      </c>
      <c r="K20">
        <v>36</v>
      </c>
      <c r="L20">
        <v>19398039</v>
      </c>
      <c r="M20" t="s">
        <v>343</v>
      </c>
    </row>
    <row r="21" spans="1:13" x14ac:dyDescent="0.2">
      <c r="A21" t="s">
        <v>176</v>
      </c>
      <c r="B21" t="s">
        <v>195</v>
      </c>
      <c r="C21" t="s">
        <v>11</v>
      </c>
      <c r="D21" t="s">
        <v>196</v>
      </c>
      <c r="E21">
        <v>34.976799999999997</v>
      </c>
      <c r="F21">
        <v>-6.0231899999999998E-2</v>
      </c>
      <c r="G21">
        <v>2006</v>
      </c>
      <c r="H21">
        <v>2006</v>
      </c>
      <c r="I21" t="s">
        <v>72</v>
      </c>
      <c r="J21">
        <v>7</v>
      </c>
      <c r="K21">
        <v>36</v>
      </c>
      <c r="L21">
        <v>19398039</v>
      </c>
    </row>
    <row r="22" spans="1:13" x14ac:dyDescent="0.2">
      <c r="A22" t="s">
        <v>176</v>
      </c>
      <c r="B22" t="s">
        <v>195</v>
      </c>
      <c r="C22" t="s">
        <v>11</v>
      </c>
      <c r="D22" t="s">
        <v>196</v>
      </c>
      <c r="E22">
        <v>34.976799999999997</v>
      </c>
      <c r="F22">
        <v>-6.0231899999999998E-2</v>
      </c>
      <c r="G22">
        <v>2006</v>
      </c>
      <c r="H22">
        <v>2006</v>
      </c>
      <c r="I22" t="s">
        <v>71</v>
      </c>
      <c r="J22">
        <v>23</v>
      </c>
      <c r="K22">
        <v>36</v>
      </c>
      <c r="L22">
        <v>19398039</v>
      </c>
    </row>
    <row r="23" spans="1:13" x14ac:dyDescent="0.2">
      <c r="A23" t="s">
        <v>176</v>
      </c>
      <c r="B23" t="s">
        <v>195</v>
      </c>
      <c r="C23" t="s">
        <v>11</v>
      </c>
      <c r="D23" t="s">
        <v>196</v>
      </c>
      <c r="E23">
        <v>34.976799999999997</v>
      </c>
      <c r="F23">
        <v>-6.0231899999999998E-2</v>
      </c>
      <c r="G23">
        <v>2006</v>
      </c>
      <c r="H23">
        <v>2006</v>
      </c>
      <c r="I23" t="s">
        <v>76</v>
      </c>
      <c r="J23">
        <v>3</v>
      </c>
      <c r="K23">
        <v>36</v>
      </c>
      <c r="L23">
        <v>19398039</v>
      </c>
    </row>
    <row r="24" spans="1:13" x14ac:dyDescent="0.2">
      <c r="A24" t="s">
        <v>176</v>
      </c>
      <c r="B24" t="s">
        <v>195</v>
      </c>
      <c r="C24" t="s">
        <v>11</v>
      </c>
      <c r="D24" t="s">
        <v>196</v>
      </c>
      <c r="E24">
        <v>34.976799999999997</v>
      </c>
      <c r="F24">
        <v>-6.0231899999999998E-2</v>
      </c>
      <c r="G24">
        <v>2006</v>
      </c>
      <c r="H24">
        <v>2006</v>
      </c>
      <c r="I24" t="s">
        <v>74</v>
      </c>
      <c r="J24">
        <v>17</v>
      </c>
      <c r="K24">
        <v>36</v>
      </c>
      <c r="L24">
        <v>19398039</v>
      </c>
    </row>
    <row r="25" spans="1:13" x14ac:dyDescent="0.2">
      <c r="A25" t="s">
        <v>176</v>
      </c>
      <c r="B25" t="s">
        <v>195</v>
      </c>
      <c r="C25" t="s">
        <v>11</v>
      </c>
      <c r="D25" t="s">
        <v>196</v>
      </c>
      <c r="E25">
        <v>34.976799999999997</v>
      </c>
      <c r="F25">
        <v>-6.0231899999999998E-2</v>
      </c>
      <c r="G25">
        <v>2006</v>
      </c>
      <c r="H25">
        <v>2006</v>
      </c>
      <c r="I25" t="s">
        <v>75</v>
      </c>
      <c r="J25">
        <v>16</v>
      </c>
      <c r="K25">
        <v>36</v>
      </c>
      <c r="L25">
        <v>19398039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823FE-3ADE-8145-8C51-24DE8DEF5EFE}">
  <dimension ref="A1:M13"/>
  <sheetViews>
    <sheetView topLeftCell="I1" zoomScaleNormal="100" workbookViewId="0">
      <selection activeCell="L12" sqref="L12"/>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221</v>
      </c>
      <c r="B2" s="1" t="s">
        <v>222</v>
      </c>
      <c r="C2" s="1" t="s">
        <v>14</v>
      </c>
      <c r="D2" s="1" t="s">
        <v>223</v>
      </c>
      <c r="E2" s="1">
        <v>32.795299999999997</v>
      </c>
      <c r="F2" s="1">
        <v>-5.0166700000000004</v>
      </c>
      <c r="G2" s="1">
        <v>2004</v>
      </c>
      <c r="H2" s="1">
        <v>2004</v>
      </c>
      <c r="I2" s="1" t="s">
        <v>71</v>
      </c>
      <c r="J2" s="1">
        <v>103</v>
      </c>
      <c r="K2" s="1">
        <v>163</v>
      </c>
      <c r="L2" s="1">
        <v>19346369</v>
      </c>
    </row>
    <row r="3" spans="1:13" x14ac:dyDescent="0.2">
      <c r="A3" s="1" t="s">
        <v>221</v>
      </c>
      <c r="B3" s="1" t="s">
        <v>222</v>
      </c>
      <c r="C3" s="1" t="s">
        <v>14</v>
      </c>
      <c r="D3" s="1" t="s">
        <v>223</v>
      </c>
      <c r="E3" s="1">
        <v>32.795299999999997</v>
      </c>
      <c r="F3" s="1">
        <v>-5.0166700000000004</v>
      </c>
      <c r="G3" s="1">
        <v>2004</v>
      </c>
      <c r="H3" s="1">
        <v>2004</v>
      </c>
      <c r="I3" s="1" t="s">
        <v>73</v>
      </c>
      <c r="J3" s="1">
        <v>5</v>
      </c>
      <c r="K3" s="1">
        <v>163</v>
      </c>
      <c r="L3" s="1">
        <v>19346369</v>
      </c>
    </row>
    <row r="4" spans="1:13" x14ac:dyDescent="0.2">
      <c r="A4" s="1" t="s">
        <v>221</v>
      </c>
      <c r="B4" s="1" t="s">
        <v>222</v>
      </c>
      <c r="C4" s="1" t="s">
        <v>14</v>
      </c>
      <c r="D4" s="1" t="s">
        <v>223</v>
      </c>
      <c r="E4" s="1">
        <v>32.795299999999997</v>
      </c>
      <c r="F4" s="1">
        <v>-5.0166700000000004</v>
      </c>
      <c r="G4" s="1">
        <v>2004</v>
      </c>
      <c r="H4" s="1">
        <v>2004</v>
      </c>
      <c r="I4" s="1" t="s">
        <v>72</v>
      </c>
      <c r="J4" s="1">
        <v>55</v>
      </c>
      <c r="K4" s="1">
        <v>163</v>
      </c>
      <c r="L4" s="1">
        <v>19346369</v>
      </c>
    </row>
    <row r="5" spans="1:13" x14ac:dyDescent="0.2">
      <c r="A5" s="1" t="s">
        <v>221</v>
      </c>
      <c r="B5" s="1" t="s">
        <v>224</v>
      </c>
      <c r="C5" s="1" t="s">
        <v>14</v>
      </c>
      <c r="D5" s="1" t="s">
        <v>223</v>
      </c>
      <c r="E5" s="1">
        <v>32.795299999999997</v>
      </c>
      <c r="F5" s="1">
        <v>-5.0166700000000004</v>
      </c>
      <c r="G5" s="1">
        <v>2003</v>
      </c>
      <c r="H5" s="1">
        <v>2003</v>
      </c>
      <c r="I5" s="1" t="s">
        <v>71</v>
      </c>
      <c r="J5" s="1">
        <v>109</v>
      </c>
      <c r="K5" s="1">
        <v>155</v>
      </c>
      <c r="L5" s="1">
        <v>19346369</v>
      </c>
      <c r="M5" s="1" t="s">
        <v>344</v>
      </c>
    </row>
    <row r="6" spans="1:13" x14ac:dyDescent="0.2">
      <c r="A6" s="1" t="s">
        <v>221</v>
      </c>
      <c r="B6" s="1" t="s">
        <v>224</v>
      </c>
      <c r="C6" s="1" t="s">
        <v>14</v>
      </c>
      <c r="D6" s="1" t="s">
        <v>223</v>
      </c>
      <c r="E6" s="1">
        <v>32.795299999999997</v>
      </c>
      <c r="F6" s="1">
        <v>-5.0166700000000004</v>
      </c>
      <c r="G6" s="1">
        <v>2003</v>
      </c>
      <c r="H6" s="1">
        <v>2003</v>
      </c>
      <c r="I6" s="1" t="s">
        <v>73</v>
      </c>
      <c r="J6" s="1">
        <v>4</v>
      </c>
      <c r="K6" s="1">
        <v>155</v>
      </c>
      <c r="L6" s="1">
        <v>19346369</v>
      </c>
      <c r="M6" s="1" t="s">
        <v>344</v>
      </c>
    </row>
    <row r="7" spans="1:13" x14ac:dyDescent="0.2">
      <c r="A7" s="1" t="s">
        <v>221</v>
      </c>
      <c r="B7" s="1" t="s">
        <v>224</v>
      </c>
      <c r="C7" s="1" t="s">
        <v>14</v>
      </c>
      <c r="D7" s="1" t="s">
        <v>223</v>
      </c>
      <c r="E7" s="1">
        <v>32.795299999999997</v>
      </c>
      <c r="F7" s="1">
        <v>-5.0166700000000004</v>
      </c>
      <c r="G7" s="1">
        <v>2003</v>
      </c>
      <c r="H7" s="1">
        <v>2003</v>
      </c>
      <c r="I7" s="1" t="s">
        <v>72</v>
      </c>
      <c r="J7" s="1">
        <v>42</v>
      </c>
      <c r="K7" s="1">
        <v>155</v>
      </c>
      <c r="L7" s="1">
        <v>19346369</v>
      </c>
      <c r="M7" s="1" t="s">
        <v>344</v>
      </c>
    </row>
    <row r="8" spans="1:13" x14ac:dyDescent="0.2">
      <c r="A8" s="1" t="s">
        <v>221</v>
      </c>
      <c r="B8" s="1" t="s">
        <v>225</v>
      </c>
      <c r="C8" s="1" t="s">
        <v>14</v>
      </c>
      <c r="D8" s="1" t="s">
        <v>223</v>
      </c>
      <c r="E8" s="1">
        <v>32.795299999999997</v>
      </c>
      <c r="F8" s="1">
        <v>-5.0166700000000004</v>
      </c>
      <c r="G8" s="1">
        <v>2006</v>
      </c>
      <c r="H8" s="1">
        <v>2006</v>
      </c>
      <c r="I8" s="1" t="s">
        <v>71</v>
      </c>
      <c r="J8" s="1">
        <v>51</v>
      </c>
      <c r="K8" s="1">
        <v>74</v>
      </c>
      <c r="L8" s="1">
        <v>19346369</v>
      </c>
    </row>
    <row r="9" spans="1:13" x14ac:dyDescent="0.2">
      <c r="A9" s="1" t="s">
        <v>221</v>
      </c>
      <c r="B9" s="1" t="s">
        <v>225</v>
      </c>
      <c r="C9" s="1" t="s">
        <v>14</v>
      </c>
      <c r="D9" s="1" t="s">
        <v>223</v>
      </c>
      <c r="E9" s="1">
        <v>32.795299999999997</v>
      </c>
      <c r="F9" s="1">
        <v>-5.0166700000000004</v>
      </c>
      <c r="G9" s="1">
        <v>2006</v>
      </c>
      <c r="H9" s="1">
        <v>2006</v>
      </c>
      <c r="I9" s="1" t="s">
        <v>73</v>
      </c>
      <c r="J9" s="1">
        <v>2</v>
      </c>
      <c r="K9" s="1">
        <v>74</v>
      </c>
      <c r="L9" s="1">
        <v>19346369</v>
      </c>
    </row>
    <row r="10" spans="1:13" x14ac:dyDescent="0.2">
      <c r="A10" s="1" t="s">
        <v>221</v>
      </c>
      <c r="B10" s="1" t="s">
        <v>225</v>
      </c>
      <c r="C10" s="1" t="s">
        <v>14</v>
      </c>
      <c r="D10" s="1" t="s">
        <v>223</v>
      </c>
      <c r="E10" s="1">
        <v>32.795299999999997</v>
      </c>
      <c r="F10" s="1">
        <v>-5.0166700000000004</v>
      </c>
      <c r="G10" s="1">
        <v>2006</v>
      </c>
      <c r="H10" s="1">
        <v>2006</v>
      </c>
      <c r="I10" s="1" t="s">
        <v>72</v>
      </c>
      <c r="J10" s="1">
        <v>21</v>
      </c>
      <c r="K10" s="1">
        <v>74</v>
      </c>
      <c r="L10" s="1">
        <v>19346369</v>
      </c>
    </row>
    <row r="11" spans="1:13" x14ac:dyDescent="0.2">
      <c r="A11" s="1" t="s">
        <v>221</v>
      </c>
      <c r="B11" s="1" t="s">
        <v>226</v>
      </c>
      <c r="C11" s="1" t="s">
        <v>14</v>
      </c>
      <c r="D11" s="1" t="s">
        <v>223</v>
      </c>
      <c r="E11" s="1">
        <v>32.795299999999997</v>
      </c>
      <c r="F11" s="1">
        <v>-5.0166700000000004</v>
      </c>
      <c r="G11" s="1">
        <v>2007</v>
      </c>
      <c r="H11" s="1">
        <v>2007</v>
      </c>
      <c r="I11" s="1" t="s">
        <v>71</v>
      </c>
      <c r="J11" s="1">
        <v>36</v>
      </c>
      <c r="K11" s="1">
        <v>73</v>
      </c>
      <c r="L11" s="1">
        <v>19346369</v>
      </c>
    </row>
    <row r="12" spans="1:13" x14ac:dyDescent="0.2">
      <c r="A12" s="1" t="s">
        <v>221</v>
      </c>
      <c r="B12" s="1" t="s">
        <v>226</v>
      </c>
      <c r="C12" s="1" t="s">
        <v>14</v>
      </c>
      <c r="D12" s="1" t="s">
        <v>223</v>
      </c>
      <c r="E12" s="1">
        <v>32.795299999999997</v>
      </c>
      <c r="F12" s="1">
        <v>-5.0166700000000004</v>
      </c>
      <c r="G12" s="1">
        <v>2007</v>
      </c>
      <c r="H12" s="1">
        <v>2007</v>
      </c>
      <c r="I12" s="1" t="s">
        <v>73</v>
      </c>
      <c r="J12" s="1">
        <v>13</v>
      </c>
      <c r="K12" s="1">
        <v>73</v>
      </c>
      <c r="L12" s="1">
        <v>19346369</v>
      </c>
    </row>
    <row r="13" spans="1:13" x14ac:dyDescent="0.2">
      <c r="A13" s="1" t="s">
        <v>221</v>
      </c>
      <c r="B13" s="1" t="s">
        <v>226</v>
      </c>
      <c r="C13" s="1" t="s">
        <v>14</v>
      </c>
      <c r="D13" s="1" t="s">
        <v>223</v>
      </c>
      <c r="E13" s="1">
        <v>32.795299999999997</v>
      </c>
      <c r="F13" s="1">
        <v>-5.0166700000000004</v>
      </c>
      <c r="G13" s="1">
        <v>2007</v>
      </c>
      <c r="H13" s="1">
        <v>2007</v>
      </c>
      <c r="I13" s="1" t="s">
        <v>72</v>
      </c>
      <c r="J13" s="1">
        <v>24</v>
      </c>
      <c r="K13" s="1">
        <v>73</v>
      </c>
      <c r="L13" s="1">
        <v>19346369</v>
      </c>
    </row>
  </sheetData>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493BA-94F4-9840-997F-6293F00C923E}">
  <dimension ref="A1:M7"/>
  <sheetViews>
    <sheetView topLeftCell="I1" zoomScaleNormal="100" workbookViewId="0">
      <selection activeCell="L12" sqref="L12"/>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69</v>
      </c>
      <c r="B2" s="1" t="s">
        <v>70</v>
      </c>
      <c r="C2" s="1" t="s">
        <v>17</v>
      </c>
      <c r="D2" s="1" t="s">
        <v>18</v>
      </c>
      <c r="E2" s="1">
        <v>13.234400000000001</v>
      </c>
      <c r="F2" s="1">
        <v>-8.8383299999999991</v>
      </c>
      <c r="G2" s="1">
        <v>2005</v>
      </c>
      <c r="H2" s="1">
        <v>2005</v>
      </c>
      <c r="I2" s="1" t="s">
        <v>71</v>
      </c>
      <c r="J2" s="1">
        <v>230</v>
      </c>
      <c r="K2" s="1">
        <v>245</v>
      </c>
      <c r="L2" s="1">
        <v>19014684</v>
      </c>
    </row>
    <row r="3" spans="1:13" x14ac:dyDescent="0.2">
      <c r="A3" s="1" t="s">
        <v>69</v>
      </c>
      <c r="B3" s="1" t="s">
        <v>70</v>
      </c>
      <c r="C3" s="1" t="s">
        <v>17</v>
      </c>
      <c r="D3" s="1" t="s">
        <v>18</v>
      </c>
      <c r="E3" s="1">
        <v>13.234400000000001</v>
      </c>
      <c r="F3" s="1">
        <v>-8.8383299999999991</v>
      </c>
      <c r="G3" s="1">
        <v>2005</v>
      </c>
      <c r="H3" s="1">
        <v>2005</v>
      </c>
      <c r="I3" s="1" t="s">
        <v>72</v>
      </c>
      <c r="J3" s="1">
        <v>1</v>
      </c>
      <c r="K3" s="1">
        <v>245</v>
      </c>
      <c r="L3" s="1">
        <v>19014684</v>
      </c>
    </row>
    <row r="4" spans="1:13" x14ac:dyDescent="0.2">
      <c r="A4" s="1" t="s">
        <v>69</v>
      </c>
      <c r="B4" s="1" t="s">
        <v>70</v>
      </c>
      <c r="C4" s="1" t="s">
        <v>17</v>
      </c>
      <c r="D4" s="1" t="s">
        <v>18</v>
      </c>
      <c r="E4" s="1">
        <v>13.234400000000001</v>
      </c>
      <c r="F4" s="1">
        <v>-8.8383299999999991</v>
      </c>
      <c r="G4" s="1">
        <v>2005</v>
      </c>
      <c r="H4" s="1">
        <v>2005</v>
      </c>
      <c r="I4" s="1" t="s">
        <v>73</v>
      </c>
      <c r="J4" s="1">
        <v>14</v>
      </c>
      <c r="K4" s="1">
        <v>245</v>
      </c>
      <c r="L4" s="1">
        <v>19014684</v>
      </c>
    </row>
    <row r="5" spans="1:13" x14ac:dyDescent="0.2">
      <c r="A5" s="1" t="s">
        <v>69</v>
      </c>
      <c r="B5" s="1" t="s">
        <v>70</v>
      </c>
      <c r="C5" s="1" t="s">
        <v>17</v>
      </c>
      <c r="D5" s="1" t="s">
        <v>18</v>
      </c>
      <c r="E5" s="1">
        <v>13.234400000000001</v>
      </c>
      <c r="F5" s="1">
        <v>-8.8383299999999991</v>
      </c>
      <c r="G5" s="1">
        <v>2005</v>
      </c>
      <c r="H5" s="1">
        <v>2005</v>
      </c>
      <c r="I5" s="1" t="s">
        <v>74</v>
      </c>
      <c r="J5" s="1">
        <v>122</v>
      </c>
      <c r="K5" s="1">
        <v>199</v>
      </c>
      <c r="L5" s="1">
        <v>19014684</v>
      </c>
    </row>
    <row r="6" spans="1:13" x14ac:dyDescent="0.2">
      <c r="A6" s="1" t="s">
        <v>69</v>
      </c>
      <c r="B6" s="1" t="s">
        <v>70</v>
      </c>
      <c r="C6" s="1" t="s">
        <v>17</v>
      </c>
      <c r="D6" s="1" t="s">
        <v>18</v>
      </c>
      <c r="E6" s="1">
        <v>13.234400000000001</v>
      </c>
      <c r="F6" s="1">
        <v>-8.8383299999999991</v>
      </c>
      <c r="G6" s="1">
        <v>2005</v>
      </c>
      <c r="H6" s="1">
        <v>2005</v>
      </c>
      <c r="I6" s="1" t="s">
        <v>75</v>
      </c>
      <c r="J6" s="1">
        <v>20</v>
      </c>
      <c r="K6" s="1">
        <v>199</v>
      </c>
      <c r="L6" s="1">
        <v>19014684</v>
      </c>
    </row>
    <row r="7" spans="1:13" x14ac:dyDescent="0.2">
      <c r="A7" s="1" t="s">
        <v>69</v>
      </c>
      <c r="B7" s="1" t="s">
        <v>70</v>
      </c>
      <c r="C7" s="1" t="s">
        <v>17</v>
      </c>
      <c r="D7" s="1" t="s">
        <v>18</v>
      </c>
      <c r="E7" s="1">
        <v>13.234400000000001</v>
      </c>
      <c r="F7" s="1">
        <v>-8.8383299999999991</v>
      </c>
      <c r="G7" s="1">
        <v>2005</v>
      </c>
      <c r="H7" s="1">
        <v>2005</v>
      </c>
      <c r="I7" s="1" t="s">
        <v>76</v>
      </c>
      <c r="J7" s="1">
        <v>57</v>
      </c>
      <c r="K7" s="1">
        <v>199</v>
      </c>
      <c r="L7" s="1">
        <v>19014684</v>
      </c>
      <c r="M7" s="1" t="s">
        <v>345</v>
      </c>
    </row>
  </sheetData>
  <pageMargins left="0.7" right="0.7" top="0.75" bottom="0.75" header="0.511811023622047" footer="0.511811023622047"/>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E7ECD-903B-4644-BD3B-781E3104D559}">
  <dimension ref="A1:M19"/>
  <sheetViews>
    <sheetView topLeftCell="C1" zoomScaleNormal="100" workbookViewId="0">
      <selection activeCell="O28" sqref="O28"/>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145</v>
      </c>
      <c r="B2" s="1" t="s">
        <v>146</v>
      </c>
      <c r="C2" s="1" t="s">
        <v>10</v>
      </c>
      <c r="D2" s="1" t="s">
        <v>143</v>
      </c>
      <c r="E2" s="1">
        <v>-1.0902799999999999</v>
      </c>
      <c r="F2" s="1">
        <v>10.8847</v>
      </c>
      <c r="G2" s="1">
        <v>1996</v>
      </c>
      <c r="H2" s="1">
        <v>1997</v>
      </c>
      <c r="I2" s="1" t="s">
        <v>71</v>
      </c>
      <c r="J2" s="1">
        <v>23</v>
      </c>
      <c r="K2" s="1">
        <v>51</v>
      </c>
      <c r="L2" s="1">
        <v>18411325</v>
      </c>
    </row>
    <row r="3" spans="1:13" x14ac:dyDescent="0.2">
      <c r="A3" s="1" t="s">
        <v>145</v>
      </c>
      <c r="B3" s="1" t="s">
        <v>146</v>
      </c>
      <c r="C3" s="1" t="s">
        <v>10</v>
      </c>
      <c r="D3" s="1" t="s">
        <v>143</v>
      </c>
      <c r="E3" s="1">
        <v>-1.0902799999999999</v>
      </c>
      <c r="F3" s="1">
        <v>10.8847</v>
      </c>
      <c r="G3" s="1">
        <v>1996</v>
      </c>
      <c r="H3" s="1">
        <v>1997</v>
      </c>
      <c r="I3" s="1" t="s">
        <v>73</v>
      </c>
      <c r="J3" s="1">
        <v>15</v>
      </c>
      <c r="K3" s="1">
        <v>51</v>
      </c>
      <c r="L3" s="1">
        <v>18411325</v>
      </c>
    </row>
    <row r="4" spans="1:13" x14ac:dyDescent="0.2">
      <c r="A4" s="1" t="s">
        <v>145</v>
      </c>
      <c r="B4" s="1" t="s">
        <v>146</v>
      </c>
      <c r="C4" s="1" t="s">
        <v>10</v>
      </c>
      <c r="D4" s="1" t="s">
        <v>143</v>
      </c>
      <c r="E4" s="1">
        <v>-1.0902799999999999</v>
      </c>
      <c r="F4" s="1">
        <v>10.8847</v>
      </c>
      <c r="G4" s="1">
        <v>1996</v>
      </c>
      <c r="H4" s="1">
        <v>1997</v>
      </c>
      <c r="I4" s="1" t="s">
        <v>72</v>
      </c>
      <c r="J4" s="1">
        <v>13</v>
      </c>
      <c r="K4" s="1">
        <v>51</v>
      </c>
      <c r="L4" s="1">
        <v>18411325</v>
      </c>
      <c r="M4" s="1" t="s">
        <v>354</v>
      </c>
    </row>
    <row r="5" spans="1:13" x14ac:dyDescent="0.2">
      <c r="A5" s="1" t="s">
        <v>145</v>
      </c>
      <c r="B5" s="1" t="s">
        <v>146</v>
      </c>
      <c r="C5" s="1" t="s">
        <v>10</v>
      </c>
      <c r="D5" s="1" t="s">
        <v>143</v>
      </c>
      <c r="E5" s="1">
        <v>-1.0902799999999999</v>
      </c>
      <c r="F5" s="1">
        <v>10.8847</v>
      </c>
      <c r="G5" s="1">
        <v>1996</v>
      </c>
      <c r="H5" s="1">
        <v>1997</v>
      </c>
      <c r="I5" s="1" t="s">
        <v>75</v>
      </c>
      <c r="J5" s="1">
        <v>7</v>
      </c>
      <c r="K5" s="1">
        <v>51</v>
      </c>
      <c r="L5" s="1">
        <v>18411325</v>
      </c>
    </row>
    <row r="6" spans="1:13" x14ac:dyDescent="0.2">
      <c r="A6" s="1" t="s">
        <v>145</v>
      </c>
      <c r="B6" s="1" t="s">
        <v>146</v>
      </c>
      <c r="C6" s="1" t="s">
        <v>10</v>
      </c>
      <c r="D6" s="1" t="s">
        <v>143</v>
      </c>
      <c r="E6" s="1">
        <v>-1.0902799999999999</v>
      </c>
      <c r="F6" s="1">
        <v>10.8847</v>
      </c>
      <c r="G6" s="1">
        <v>1996</v>
      </c>
      <c r="H6" s="1">
        <v>1997</v>
      </c>
      <c r="I6" s="1" t="s">
        <v>74</v>
      </c>
      <c r="J6" s="1">
        <v>27</v>
      </c>
      <c r="K6" s="1">
        <v>51</v>
      </c>
      <c r="L6" s="1">
        <v>18411325</v>
      </c>
    </row>
    <row r="7" spans="1:13" x14ac:dyDescent="0.2">
      <c r="A7" s="1" t="s">
        <v>145</v>
      </c>
      <c r="B7" s="1" t="s">
        <v>146</v>
      </c>
      <c r="C7" s="1" t="s">
        <v>10</v>
      </c>
      <c r="D7" s="1" t="s">
        <v>143</v>
      </c>
      <c r="E7" s="1">
        <v>-1.0902799999999999</v>
      </c>
      <c r="F7" s="1">
        <v>10.8847</v>
      </c>
      <c r="G7" s="1">
        <v>1996</v>
      </c>
      <c r="H7" s="1">
        <v>1997</v>
      </c>
      <c r="I7" s="1" t="s">
        <v>76</v>
      </c>
      <c r="J7" s="1">
        <v>17</v>
      </c>
      <c r="K7" s="1">
        <v>51</v>
      </c>
      <c r="L7" s="1">
        <v>18411325</v>
      </c>
    </row>
    <row r="8" spans="1:13" x14ac:dyDescent="0.2">
      <c r="A8" s="1" t="s">
        <v>145</v>
      </c>
      <c r="B8" s="1" t="s">
        <v>181</v>
      </c>
      <c r="C8" s="1" t="s">
        <v>11</v>
      </c>
      <c r="D8" s="1" t="s">
        <v>182</v>
      </c>
      <c r="E8" s="1">
        <v>35.2575</v>
      </c>
      <c r="F8" s="1">
        <v>0.46523100000000001</v>
      </c>
      <c r="G8" s="1">
        <v>1996</v>
      </c>
      <c r="H8" s="1">
        <v>2000</v>
      </c>
      <c r="I8" s="1" t="s">
        <v>71</v>
      </c>
      <c r="J8" s="1">
        <v>35</v>
      </c>
      <c r="K8" s="1">
        <v>39</v>
      </c>
      <c r="L8" s="1">
        <v>18411325</v>
      </c>
    </row>
    <row r="9" spans="1:13" x14ac:dyDescent="0.2">
      <c r="A9" s="1" t="s">
        <v>145</v>
      </c>
      <c r="B9" s="1" t="s">
        <v>181</v>
      </c>
      <c r="C9" s="1" t="s">
        <v>11</v>
      </c>
      <c r="D9" s="1" t="s">
        <v>182</v>
      </c>
      <c r="E9" s="1">
        <v>35.2575</v>
      </c>
      <c r="F9" s="1">
        <v>0.46523100000000001</v>
      </c>
      <c r="G9" s="1">
        <v>1996</v>
      </c>
      <c r="H9" s="1">
        <v>2000</v>
      </c>
      <c r="I9" s="1" t="s">
        <v>73</v>
      </c>
      <c r="J9" s="1">
        <v>2</v>
      </c>
      <c r="K9" s="1">
        <v>39</v>
      </c>
      <c r="L9" s="1">
        <v>18411325</v>
      </c>
    </row>
    <row r="10" spans="1:13" x14ac:dyDescent="0.2">
      <c r="A10" s="1" t="s">
        <v>145</v>
      </c>
      <c r="B10" s="1" t="s">
        <v>181</v>
      </c>
      <c r="C10" s="1" t="s">
        <v>11</v>
      </c>
      <c r="D10" s="1" t="s">
        <v>182</v>
      </c>
      <c r="E10" s="1">
        <v>35.2575</v>
      </c>
      <c r="F10" s="1">
        <v>0.46523100000000001</v>
      </c>
      <c r="G10" s="1">
        <v>1996</v>
      </c>
      <c r="H10" s="1">
        <v>2000</v>
      </c>
      <c r="I10" s="1" t="s">
        <v>72</v>
      </c>
      <c r="J10" s="1">
        <v>2</v>
      </c>
      <c r="K10" s="1">
        <v>39</v>
      </c>
      <c r="L10" s="1">
        <v>18411325</v>
      </c>
    </row>
    <row r="11" spans="1:13" x14ac:dyDescent="0.2">
      <c r="A11" s="1" t="s">
        <v>145</v>
      </c>
      <c r="B11" s="1" t="s">
        <v>181</v>
      </c>
      <c r="C11" s="1" t="s">
        <v>11</v>
      </c>
      <c r="D11" s="1" t="s">
        <v>182</v>
      </c>
      <c r="E11" s="1">
        <v>35.2575</v>
      </c>
      <c r="F11" s="1">
        <v>0.46523100000000001</v>
      </c>
      <c r="G11" s="1">
        <v>1996</v>
      </c>
      <c r="H11" s="1">
        <v>2000</v>
      </c>
      <c r="I11" s="1" t="s">
        <v>74</v>
      </c>
      <c r="J11" s="1">
        <v>9</v>
      </c>
      <c r="K11" s="1">
        <v>39</v>
      </c>
      <c r="L11" s="1">
        <v>18411325</v>
      </c>
    </row>
    <row r="12" spans="1:13" x14ac:dyDescent="0.2">
      <c r="A12" s="1" t="s">
        <v>145</v>
      </c>
      <c r="B12" s="1" t="s">
        <v>181</v>
      </c>
      <c r="C12" s="1" t="s">
        <v>11</v>
      </c>
      <c r="D12" s="1" t="s">
        <v>182</v>
      </c>
      <c r="E12" s="1">
        <v>35.2575</v>
      </c>
      <c r="F12" s="1">
        <v>0.46523100000000001</v>
      </c>
      <c r="G12" s="1">
        <v>1996</v>
      </c>
      <c r="H12" s="1">
        <v>2000</v>
      </c>
      <c r="I12" s="1" t="s">
        <v>76</v>
      </c>
      <c r="J12" s="1">
        <v>14</v>
      </c>
      <c r="K12" s="1">
        <v>39</v>
      </c>
      <c r="L12" s="1">
        <v>18411325</v>
      </c>
    </row>
    <row r="13" spans="1:13" x14ac:dyDescent="0.2">
      <c r="A13" s="1" t="s">
        <v>145</v>
      </c>
      <c r="B13" s="1" t="s">
        <v>181</v>
      </c>
      <c r="C13" s="1" t="s">
        <v>11</v>
      </c>
      <c r="D13" s="1" t="s">
        <v>182</v>
      </c>
      <c r="E13" s="1">
        <v>35.2575</v>
      </c>
      <c r="F13" s="1">
        <v>0.46523100000000001</v>
      </c>
      <c r="G13" s="1">
        <v>1996</v>
      </c>
      <c r="H13" s="1">
        <v>2000</v>
      </c>
      <c r="I13" s="1" t="s">
        <v>75</v>
      </c>
      <c r="J13" s="1">
        <v>16</v>
      </c>
      <c r="K13" s="1">
        <v>39</v>
      </c>
      <c r="L13" s="1">
        <v>18411325</v>
      </c>
    </row>
    <row r="14" spans="1:13" x14ac:dyDescent="0.2">
      <c r="A14" s="1" t="s">
        <v>145</v>
      </c>
      <c r="B14" s="1" t="s">
        <v>254</v>
      </c>
      <c r="C14" s="1" t="s">
        <v>15</v>
      </c>
      <c r="D14" s="1" t="s">
        <v>52</v>
      </c>
      <c r="E14" s="1">
        <v>32.581099999999999</v>
      </c>
      <c r="F14" s="1">
        <v>0.31361099999999997</v>
      </c>
      <c r="G14" s="1">
        <v>1998</v>
      </c>
      <c r="H14" s="1">
        <v>1999</v>
      </c>
      <c r="I14" s="1" t="s">
        <v>75</v>
      </c>
      <c r="J14" s="1">
        <v>3</v>
      </c>
      <c r="K14" s="1">
        <v>30</v>
      </c>
      <c r="L14" s="1">
        <v>18411325</v>
      </c>
    </row>
    <row r="15" spans="1:13" x14ac:dyDescent="0.2">
      <c r="A15" s="1" t="s">
        <v>145</v>
      </c>
      <c r="B15" s="1" t="s">
        <v>254</v>
      </c>
      <c r="C15" s="1" t="s">
        <v>15</v>
      </c>
      <c r="D15" s="1" t="s">
        <v>52</v>
      </c>
      <c r="E15" s="1">
        <v>32.581099999999999</v>
      </c>
      <c r="F15" s="1">
        <v>0.31361099999999997</v>
      </c>
      <c r="G15" s="1">
        <v>1998</v>
      </c>
      <c r="H15" s="1">
        <v>1999</v>
      </c>
      <c r="I15" s="1" t="s">
        <v>74</v>
      </c>
      <c r="J15" s="1">
        <v>23</v>
      </c>
      <c r="K15" s="1">
        <v>30</v>
      </c>
      <c r="L15" s="1">
        <v>18411325</v>
      </c>
    </row>
    <row r="16" spans="1:13" x14ac:dyDescent="0.2">
      <c r="A16" s="1" t="s">
        <v>145</v>
      </c>
      <c r="B16" s="1" t="s">
        <v>254</v>
      </c>
      <c r="C16" s="1" t="s">
        <v>15</v>
      </c>
      <c r="D16" s="1" t="s">
        <v>52</v>
      </c>
      <c r="E16" s="1">
        <v>32.581099999999999</v>
      </c>
      <c r="F16" s="1">
        <v>0.31361099999999997</v>
      </c>
      <c r="G16" s="1">
        <v>1998</v>
      </c>
      <c r="H16" s="1">
        <v>1999</v>
      </c>
      <c r="I16" s="1" t="s">
        <v>76</v>
      </c>
      <c r="J16" s="1">
        <v>4</v>
      </c>
      <c r="K16" s="1">
        <v>30</v>
      </c>
      <c r="L16" s="1">
        <v>18411325</v>
      </c>
    </row>
    <row r="17" spans="1:13" x14ac:dyDescent="0.2">
      <c r="A17" s="1" t="s">
        <v>145</v>
      </c>
      <c r="B17" s="1" t="s">
        <v>254</v>
      </c>
      <c r="C17" s="1" t="s">
        <v>15</v>
      </c>
      <c r="D17" s="1" t="s">
        <v>52</v>
      </c>
      <c r="E17" s="1">
        <v>32.581099999999999</v>
      </c>
      <c r="F17" s="1">
        <v>0.31361099999999997</v>
      </c>
      <c r="G17" s="1">
        <v>1998</v>
      </c>
      <c r="H17" s="1">
        <v>1999</v>
      </c>
      <c r="I17" s="1" t="s">
        <v>73</v>
      </c>
      <c r="J17" s="1">
        <v>0</v>
      </c>
      <c r="K17" s="1">
        <v>30</v>
      </c>
      <c r="L17" s="1">
        <v>18411325</v>
      </c>
      <c r="M17" s="1" t="s">
        <v>354</v>
      </c>
    </row>
    <row r="18" spans="1:13" x14ac:dyDescent="0.2">
      <c r="A18" s="1" t="s">
        <v>145</v>
      </c>
      <c r="B18" s="1" t="s">
        <v>254</v>
      </c>
      <c r="C18" s="1" t="s">
        <v>15</v>
      </c>
      <c r="D18" s="1" t="s">
        <v>52</v>
      </c>
      <c r="E18" s="1">
        <v>32.581099999999999</v>
      </c>
      <c r="F18" s="1">
        <v>0.31361099999999997</v>
      </c>
      <c r="G18" s="1">
        <v>1998</v>
      </c>
      <c r="H18" s="1">
        <v>1999</v>
      </c>
      <c r="I18" s="1" t="s">
        <v>71</v>
      </c>
      <c r="J18" s="1">
        <v>29</v>
      </c>
      <c r="K18" s="1">
        <v>30</v>
      </c>
      <c r="L18" s="1">
        <v>18411325</v>
      </c>
    </row>
    <row r="19" spans="1:13" x14ac:dyDescent="0.2">
      <c r="A19" s="1" t="s">
        <v>145</v>
      </c>
      <c r="B19" s="1" t="s">
        <v>254</v>
      </c>
      <c r="C19" s="1" t="s">
        <v>15</v>
      </c>
      <c r="D19" s="1" t="s">
        <v>52</v>
      </c>
      <c r="E19" s="1">
        <v>32.581099999999999</v>
      </c>
      <c r="F19" s="1">
        <v>0.31361099999999997</v>
      </c>
      <c r="G19" s="1">
        <v>1998</v>
      </c>
      <c r="H19" s="1">
        <v>1999</v>
      </c>
      <c r="I19" s="1" t="s">
        <v>72</v>
      </c>
      <c r="J19" s="1">
        <v>1</v>
      </c>
      <c r="K19" s="1">
        <v>30</v>
      </c>
      <c r="L19" s="1">
        <v>18411325</v>
      </c>
      <c r="M19" s="1" t="s">
        <v>354</v>
      </c>
    </row>
  </sheetData>
  <pageMargins left="0.7" right="0.7" top="0.75" bottom="0.75" header="0.511811023622047" footer="0.511811023622047"/>
  <pageSetup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302F-7B8A-2345-BB00-A07ED63245C3}">
  <dimension ref="A1:M31"/>
  <sheetViews>
    <sheetView zoomScaleNormal="100" workbookViewId="0">
      <selection activeCell="L12" sqref="L12"/>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233</v>
      </c>
      <c r="B2" s="1" t="s">
        <v>234</v>
      </c>
      <c r="C2" s="1" t="s">
        <v>227</v>
      </c>
      <c r="D2" s="1" t="s">
        <v>235</v>
      </c>
      <c r="E2" s="1">
        <v>-15.607200000000001</v>
      </c>
      <c r="F2" s="1">
        <v>13.574999999999999</v>
      </c>
      <c r="G2" s="1">
        <v>2001</v>
      </c>
      <c r="H2" s="1">
        <v>2001</v>
      </c>
      <c r="I2" s="1" t="s">
        <v>71</v>
      </c>
      <c r="J2" s="1">
        <v>51</v>
      </c>
      <c r="K2" s="1">
        <v>88</v>
      </c>
      <c r="L2" s="1">
        <v>18008244</v>
      </c>
      <c r="M2" s="1" t="s">
        <v>347</v>
      </c>
    </row>
    <row r="3" spans="1:13" x14ac:dyDescent="0.2">
      <c r="A3" s="1" t="s">
        <v>233</v>
      </c>
      <c r="B3" s="1" t="s">
        <v>234</v>
      </c>
      <c r="C3" s="1" t="s">
        <v>227</v>
      </c>
      <c r="D3" s="1" t="s">
        <v>235</v>
      </c>
      <c r="E3" s="1">
        <v>-15.607200000000001</v>
      </c>
      <c r="F3" s="1">
        <v>13.574999999999999</v>
      </c>
      <c r="G3" s="1">
        <v>2001</v>
      </c>
      <c r="H3" s="1">
        <v>2001</v>
      </c>
      <c r="I3" s="1" t="s">
        <v>73</v>
      </c>
      <c r="J3" s="1">
        <v>24</v>
      </c>
      <c r="K3" s="1">
        <v>88</v>
      </c>
      <c r="L3" s="1">
        <v>18008244</v>
      </c>
      <c r="M3" s="1" t="s">
        <v>347</v>
      </c>
    </row>
    <row r="4" spans="1:13" x14ac:dyDescent="0.2">
      <c r="A4" s="1" t="s">
        <v>233</v>
      </c>
      <c r="B4" s="1" t="s">
        <v>234</v>
      </c>
      <c r="C4" s="1" t="s">
        <v>227</v>
      </c>
      <c r="D4" s="1" t="s">
        <v>235</v>
      </c>
      <c r="E4" s="1">
        <v>-15.607200000000001</v>
      </c>
      <c r="F4" s="1">
        <v>13.574999999999999</v>
      </c>
      <c r="G4" s="1">
        <v>2001</v>
      </c>
      <c r="H4" s="1">
        <v>2001</v>
      </c>
      <c r="I4" s="1" t="s">
        <v>72</v>
      </c>
      <c r="J4" s="1">
        <v>13</v>
      </c>
      <c r="K4" s="1">
        <v>88</v>
      </c>
      <c r="L4" s="1">
        <v>18008244</v>
      </c>
      <c r="M4" s="1" t="s">
        <v>346</v>
      </c>
    </row>
    <row r="5" spans="1:13" x14ac:dyDescent="0.2">
      <c r="A5" s="1" t="s">
        <v>233</v>
      </c>
      <c r="B5" s="1" t="s">
        <v>234</v>
      </c>
      <c r="C5" s="1" t="s">
        <v>227</v>
      </c>
      <c r="D5" s="1" t="s">
        <v>235</v>
      </c>
      <c r="E5" s="1">
        <v>-15.607200000000001</v>
      </c>
      <c r="F5" s="1">
        <v>13.574999999999999</v>
      </c>
      <c r="G5" s="1">
        <v>2001</v>
      </c>
      <c r="H5" s="1">
        <v>2001</v>
      </c>
      <c r="I5" s="1" t="s">
        <v>74</v>
      </c>
      <c r="J5" s="1">
        <v>7</v>
      </c>
      <c r="K5" s="1">
        <v>89</v>
      </c>
      <c r="L5" s="1">
        <v>18008244</v>
      </c>
      <c r="M5" s="1" t="s">
        <v>347</v>
      </c>
    </row>
    <row r="6" spans="1:13" x14ac:dyDescent="0.2">
      <c r="A6" s="1" t="s">
        <v>233</v>
      </c>
      <c r="B6" s="1" t="s">
        <v>234</v>
      </c>
      <c r="C6" s="1" t="s">
        <v>227</v>
      </c>
      <c r="D6" s="1" t="s">
        <v>235</v>
      </c>
      <c r="E6" s="1">
        <v>-15.607200000000001</v>
      </c>
      <c r="F6" s="1">
        <v>13.574999999999999</v>
      </c>
      <c r="G6" s="1">
        <v>2001</v>
      </c>
      <c r="H6" s="1">
        <v>2001</v>
      </c>
      <c r="I6" s="1" t="s">
        <v>76</v>
      </c>
      <c r="J6" s="1">
        <v>34</v>
      </c>
      <c r="K6" s="1">
        <v>89</v>
      </c>
      <c r="L6" s="1">
        <v>18008244</v>
      </c>
      <c r="M6" s="1" t="s">
        <v>347</v>
      </c>
    </row>
    <row r="7" spans="1:13" x14ac:dyDescent="0.2">
      <c r="A7" s="1" t="s">
        <v>233</v>
      </c>
      <c r="B7" s="1" t="s">
        <v>234</v>
      </c>
      <c r="C7" s="1" t="s">
        <v>227</v>
      </c>
      <c r="D7" s="1" t="s">
        <v>235</v>
      </c>
      <c r="E7" s="1">
        <v>-15.607200000000001</v>
      </c>
      <c r="F7" s="1">
        <v>13.574999999999999</v>
      </c>
      <c r="G7" s="1">
        <v>2001</v>
      </c>
      <c r="H7" s="1">
        <v>2001</v>
      </c>
      <c r="I7" s="1" t="s">
        <v>75</v>
      </c>
      <c r="J7" s="1">
        <v>48</v>
      </c>
      <c r="K7" s="1">
        <v>89</v>
      </c>
      <c r="L7" s="1">
        <v>18008244</v>
      </c>
      <c r="M7" s="1" t="s">
        <v>346</v>
      </c>
    </row>
    <row r="8" spans="1:13" x14ac:dyDescent="0.2">
      <c r="A8" s="1" t="s">
        <v>233</v>
      </c>
      <c r="B8" s="1" t="s">
        <v>236</v>
      </c>
      <c r="C8" s="1" t="s">
        <v>227</v>
      </c>
      <c r="D8" s="1" t="s">
        <v>235</v>
      </c>
      <c r="E8" s="1">
        <v>-15.607200000000001</v>
      </c>
      <c r="F8" s="1">
        <v>13.574999999999999</v>
      </c>
      <c r="G8" s="1">
        <v>2000</v>
      </c>
      <c r="H8" s="1">
        <v>2000</v>
      </c>
      <c r="I8" s="1" t="s">
        <v>71</v>
      </c>
      <c r="J8" s="1">
        <v>33</v>
      </c>
      <c r="K8" s="1">
        <v>82</v>
      </c>
      <c r="L8" s="1">
        <v>18008244</v>
      </c>
      <c r="M8" s="1" t="s">
        <v>347</v>
      </c>
    </row>
    <row r="9" spans="1:13" x14ac:dyDescent="0.2">
      <c r="A9" s="1" t="s">
        <v>233</v>
      </c>
      <c r="B9" s="1" t="s">
        <v>236</v>
      </c>
      <c r="C9" s="1" t="s">
        <v>227</v>
      </c>
      <c r="D9" s="1" t="s">
        <v>235</v>
      </c>
      <c r="E9" s="1">
        <v>-15.607200000000001</v>
      </c>
      <c r="F9" s="1">
        <v>13.574999999999999</v>
      </c>
      <c r="G9" s="1">
        <v>2000</v>
      </c>
      <c r="H9" s="1">
        <v>2000</v>
      </c>
      <c r="I9" s="1" t="s">
        <v>73</v>
      </c>
      <c r="J9" s="1">
        <v>30</v>
      </c>
      <c r="K9" s="1">
        <v>82</v>
      </c>
      <c r="L9" s="1">
        <v>18008244</v>
      </c>
      <c r="M9" s="1" t="s">
        <v>347</v>
      </c>
    </row>
    <row r="10" spans="1:13" x14ac:dyDescent="0.2">
      <c r="A10" s="1" t="s">
        <v>233</v>
      </c>
      <c r="B10" s="1" t="s">
        <v>236</v>
      </c>
      <c r="C10" s="1" t="s">
        <v>227</v>
      </c>
      <c r="D10" s="1" t="s">
        <v>235</v>
      </c>
      <c r="E10" s="1">
        <v>-15.607200000000001</v>
      </c>
      <c r="F10" s="1">
        <v>13.574999999999999</v>
      </c>
      <c r="G10" s="1">
        <v>2000</v>
      </c>
      <c r="H10" s="1">
        <v>2000</v>
      </c>
      <c r="I10" s="1" t="s">
        <v>72</v>
      </c>
      <c r="J10" s="1">
        <v>19</v>
      </c>
      <c r="K10" s="1">
        <v>82</v>
      </c>
      <c r="L10" s="1">
        <v>18008244</v>
      </c>
      <c r="M10" s="1" t="s">
        <v>346</v>
      </c>
    </row>
    <row r="11" spans="1:13" x14ac:dyDescent="0.2">
      <c r="A11" s="1" t="s">
        <v>233</v>
      </c>
      <c r="B11" s="1" t="s">
        <v>236</v>
      </c>
      <c r="C11" s="1" t="s">
        <v>227</v>
      </c>
      <c r="D11" s="1" t="s">
        <v>235</v>
      </c>
      <c r="E11" s="1">
        <v>-15.607200000000001</v>
      </c>
      <c r="F11" s="1">
        <v>13.574999999999999</v>
      </c>
      <c r="G11" s="1">
        <v>2000</v>
      </c>
      <c r="H11" s="1">
        <v>2000</v>
      </c>
      <c r="I11" s="1" t="s">
        <v>74</v>
      </c>
      <c r="J11" s="1">
        <v>25</v>
      </c>
      <c r="K11" s="1">
        <v>90</v>
      </c>
      <c r="L11" s="1">
        <v>18008244</v>
      </c>
      <c r="M11" s="1" t="s">
        <v>347</v>
      </c>
    </row>
    <row r="12" spans="1:13" x14ac:dyDescent="0.2">
      <c r="A12" s="1" t="s">
        <v>233</v>
      </c>
      <c r="B12" s="1" t="s">
        <v>236</v>
      </c>
      <c r="C12" s="1" t="s">
        <v>227</v>
      </c>
      <c r="D12" s="1" t="s">
        <v>235</v>
      </c>
      <c r="E12" s="1">
        <v>-15.607200000000001</v>
      </c>
      <c r="F12" s="1">
        <v>13.574999999999999</v>
      </c>
      <c r="G12" s="1">
        <v>2000</v>
      </c>
      <c r="H12" s="1">
        <v>2000</v>
      </c>
      <c r="I12" s="1" t="s">
        <v>76</v>
      </c>
      <c r="J12" s="1">
        <v>45</v>
      </c>
      <c r="K12" s="1">
        <v>90</v>
      </c>
      <c r="L12" s="1">
        <v>18008244</v>
      </c>
      <c r="M12" s="1" t="s">
        <v>347</v>
      </c>
    </row>
    <row r="13" spans="1:13" x14ac:dyDescent="0.2">
      <c r="A13" s="1" t="s">
        <v>233</v>
      </c>
      <c r="B13" s="1" t="s">
        <v>236</v>
      </c>
      <c r="C13" s="1" t="s">
        <v>227</v>
      </c>
      <c r="D13" s="1" t="s">
        <v>235</v>
      </c>
      <c r="E13" s="1">
        <v>-15.607200000000001</v>
      </c>
      <c r="F13" s="1">
        <v>13.574999999999999</v>
      </c>
      <c r="G13" s="1">
        <v>2000</v>
      </c>
      <c r="H13" s="1">
        <v>2000</v>
      </c>
      <c r="I13" s="1" t="s">
        <v>75</v>
      </c>
      <c r="J13" s="1">
        <v>20</v>
      </c>
      <c r="K13" s="1">
        <v>90</v>
      </c>
      <c r="L13" s="1">
        <v>18008244</v>
      </c>
      <c r="M13" s="1" t="s">
        <v>346</v>
      </c>
    </row>
    <row r="14" spans="1:13" x14ac:dyDescent="0.2">
      <c r="A14" s="1" t="s">
        <v>233</v>
      </c>
      <c r="B14" s="1" t="s">
        <v>237</v>
      </c>
      <c r="C14" s="1" t="s">
        <v>227</v>
      </c>
      <c r="D14" s="1" t="s">
        <v>235</v>
      </c>
      <c r="E14" s="1">
        <v>-15.607200000000001</v>
      </c>
      <c r="F14" s="1">
        <v>13.574999999999999</v>
      </c>
      <c r="G14" s="1">
        <v>1999</v>
      </c>
      <c r="H14" s="1">
        <v>1999</v>
      </c>
      <c r="I14" s="1" t="s">
        <v>71</v>
      </c>
      <c r="J14" s="1">
        <v>16</v>
      </c>
      <c r="K14" s="1">
        <v>71</v>
      </c>
      <c r="L14" s="1">
        <v>18008244</v>
      </c>
      <c r="M14" s="1" t="s">
        <v>347</v>
      </c>
    </row>
    <row r="15" spans="1:13" x14ac:dyDescent="0.2">
      <c r="A15" s="1" t="s">
        <v>233</v>
      </c>
      <c r="B15" s="1" t="s">
        <v>237</v>
      </c>
      <c r="C15" s="1" t="s">
        <v>227</v>
      </c>
      <c r="D15" s="1" t="s">
        <v>235</v>
      </c>
      <c r="E15" s="1">
        <v>-15.607200000000001</v>
      </c>
      <c r="F15" s="1">
        <v>13.574999999999999</v>
      </c>
      <c r="G15" s="1">
        <v>1999</v>
      </c>
      <c r="H15" s="1">
        <v>1999</v>
      </c>
      <c r="I15" s="1" t="s">
        <v>73</v>
      </c>
      <c r="J15" s="1">
        <v>34</v>
      </c>
      <c r="K15" s="1">
        <v>71</v>
      </c>
      <c r="L15" s="1">
        <v>18008244</v>
      </c>
      <c r="M15" s="1" t="s">
        <v>347</v>
      </c>
    </row>
    <row r="16" spans="1:13" x14ac:dyDescent="0.2">
      <c r="A16" s="1" t="s">
        <v>233</v>
      </c>
      <c r="B16" s="1" t="s">
        <v>237</v>
      </c>
      <c r="C16" s="1" t="s">
        <v>227</v>
      </c>
      <c r="D16" s="1" t="s">
        <v>235</v>
      </c>
      <c r="E16" s="1">
        <v>-15.607200000000001</v>
      </c>
      <c r="F16" s="1">
        <v>13.574999999999999</v>
      </c>
      <c r="G16" s="1">
        <v>1999</v>
      </c>
      <c r="H16" s="1">
        <v>1999</v>
      </c>
      <c r="I16" s="1" t="s">
        <v>72</v>
      </c>
      <c r="J16" s="1">
        <v>21</v>
      </c>
      <c r="K16" s="1">
        <v>71</v>
      </c>
      <c r="L16" s="1">
        <v>18008244</v>
      </c>
      <c r="M16" s="1" t="s">
        <v>346</v>
      </c>
    </row>
    <row r="17" spans="1:13" x14ac:dyDescent="0.2">
      <c r="A17" s="1" t="s">
        <v>233</v>
      </c>
      <c r="B17" s="1" t="s">
        <v>237</v>
      </c>
      <c r="C17" s="1" t="s">
        <v>227</v>
      </c>
      <c r="D17" s="1" t="s">
        <v>235</v>
      </c>
      <c r="E17" s="1">
        <v>-15.607200000000001</v>
      </c>
      <c r="F17" s="1">
        <v>13.574999999999999</v>
      </c>
      <c r="G17" s="1">
        <v>1999</v>
      </c>
      <c r="H17" s="1">
        <v>1999</v>
      </c>
      <c r="I17" s="1" t="s">
        <v>74</v>
      </c>
      <c r="J17" s="1">
        <v>21</v>
      </c>
      <c r="K17" s="1">
        <v>71</v>
      </c>
      <c r="L17" s="1">
        <v>18008244</v>
      </c>
      <c r="M17" s="1" t="s">
        <v>347</v>
      </c>
    </row>
    <row r="18" spans="1:13" x14ac:dyDescent="0.2">
      <c r="A18" s="1" t="s">
        <v>233</v>
      </c>
      <c r="B18" s="1" t="s">
        <v>237</v>
      </c>
      <c r="C18" s="1" t="s">
        <v>227</v>
      </c>
      <c r="D18" s="1" t="s">
        <v>235</v>
      </c>
      <c r="E18" s="1">
        <v>-15.607200000000001</v>
      </c>
      <c r="F18" s="1">
        <v>13.574999999999999</v>
      </c>
      <c r="G18" s="1">
        <v>1999</v>
      </c>
      <c r="H18" s="1">
        <v>1999</v>
      </c>
      <c r="I18" s="1" t="s">
        <v>76</v>
      </c>
      <c r="J18" s="1">
        <v>38</v>
      </c>
      <c r="K18" s="1">
        <v>71</v>
      </c>
      <c r="L18" s="1">
        <v>18008244</v>
      </c>
      <c r="M18" s="1" t="s">
        <v>347</v>
      </c>
    </row>
    <row r="19" spans="1:13" x14ac:dyDescent="0.2">
      <c r="A19" s="1" t="s">
        <v>233</v>
      </c>
      <c r="B19" s="1" t="s">
        <v>237</v>
      </c>
      <c r="C19" s="1" t="s">
        <v>227</v>
      </c>
      <c r="D19" s="1" t="s">
        <v>235</v>
      </c>
      <c r="E19" s="1">
        <v>-15.607200000000001</v>
      </c>
      <c r="F19" s="1">
        <v>13.574999999999999</v>
      </c>
      <c r="G19" s="1">
        <v>1999</v>
      </c>
      <c r="H19" s="1">
        <v>1999</v>
      </c>
      <c r="I19" s="1" t="s">
        <v>75</v>
      </c>
      <c r="J19" s="1">
        <v>12</v>
      </c>
      <c r="K19" s="1">
        <v>71</v>
      </c>
      <c r="L19" s="1">
        <v>18008244</v>
      </c>
      <c r="M19" s="1" t="s">
        <v>346</v>
      </c>
    </row>
    <row r="20" spans="1:13" x14ac:dyDescent="0.2">
      <c r="A20" s="1" t="s">
        <v>233</v>
      </c>
      <c r="B20" s="1" t="s">
        <v>238</v>
      </c>
      <c r="C20" s="1" t="s">
        <v>227</v>
      </c>
      <c r="D20" s="1" t="s">
        <v>235</v>
      </c>
      <c r="E20" s="1">
        <v>-15.607200000000001</v>
      </c>
      <c r="F20" s="1">
        <v>13.574999999999999</v>
      </c>
      <c r="G20" s="1">
        <v>1998</v>
      </c>
      <c r="H20" s="1">
        <v>1998</v>
      </c>
      <c r="I20" s="1" t="s">
        <v>71</v>
      </c>
      <c r="J20" s="1">
        <v>20</v>
      </c>
      <c r="K20" s="1">
        <v>98</v>
      </c>
      <c r="L20" s="1">
        <v>18008244</v>
      </c>
      <c r="M20" s="1" t="s">
        <v>347</v>
      </c>
    </row>
    <row r="21" spans="1:13" x14ac:dyDescent="0.2">
      <c r="A21" s="1" t="s">
        <v>233</v>
      </c>
      <c r="B21" s="1" t="s">
        <v>238</v>
      </c>
      <c r="C21" s="1" t="s">
        <v>227</v>
      </c>
      <c r="D21" s="1" t="s">
        <v>235</v>
      </c>
      <c r="E21" s="1">
        <v>-15.607200000000001</v>
      </c>
      <c r="F21" s="1">
        <v>13.574999999999999</v>
      </c>
      <c r="G21" s="1">
        <v>1998</v>
      </c>
      <c r="H21" s="1">
        <v>1998</v>
      </c>
      <c r="I21" s="1" t="s">
        <v>73</v>
      </c>
      <c r="J21" s="1">
        <v>49</v>
      </c>
      <c r="K21" s="1">
        <v>98</v>
      </c>
      <c r="L21" s="1">
        <v>18008244</v>
      </c>
      <c r="M21" s="1" t="s">
        <v>347</v>
      </c>
    </row>
    <row r="22" spans="1:13" x14ac:dyDescent="0.2">
      <c r="A22" s="1" t="s">
        <v>233</v>
      </c>
      <c r="B22" s="1" t="s">
        <v>238</v>
      </c>
      <c r="C22" s="1" t="s">
        <v>227</v>
      </c>
      <c r="D22" s="1" t="s">
        <v>235</v>
      </c>
      <c r="E22" s="1">
        <v>-15.607200000000001</v>
      </c>
      <c r="F22" s="1">
        <v>13.574999999999999</v>
      </c>
      <c r="G22" s="1">
        <v>1998</v>
      </c>
      <c r="H22" s="1">
        <v>1998</v>
      </c>
      <c r="I22" s="1" t="s">
        <v>72</v>
      </c>
      <c r="J22" s="1">
        <v>29</v>
      </c>
      <c r="K22" s="1">
        <v>98</v>
      </c>
      <c r="L22" s="1">
        <v>18008244</v>
      </c>
      <c r="M22" s="1" t="s">
        <v>346</v>
      </c>
    </row>
    <row r="23" spans="1:13" x14ac:dyDescent="0.2">
      <c r="A23" s="1" t="s">
        <v>233</v>
      </c>
      <c r="B23" s="1" t="s">
        <v>238</v>
      </c>
      <c r="C23" s="1" t="s">
        <v>227</v>
      </c>
      <c r="D23" s="1" t="s">
        <v>235</v>
      </c>
      <c r="E23" s="1">
        <v>-15.607200000000001</v>
      </c>
      <c r="F23" s="1">
        <v>13.574999999999999</v>
      </c>
      <c r="G23" s="1">
        <v>1998</v>
      </c>
      <c r="H23" s="1">
        <v>1998</v>
      </c>
      <c r="I23" s="1" t="s">
        <v>74</v>
      </c>
      <c r="J23" s="1">
        <v>19</v>
      </c>
      <c r="K23" s="1">
        <v>74</v>
      </c>
      <c r="L23" s="1">
        <v>18008244</v>
      </c>
      <c r="M23" s="1" t="s">
        <v>347</v>
      </c>
    </row>
    <row r="24" spans="1:13" x14ac:dyDescent="0.2">
      <c r="A24" s="1" t="s">
        <v>233</v>
      </c>
      <c r="B24" s="1" t="s">
        <v>238</v>
      </c>
      <c r="C24" s="1" t="s">
        <v>227</v>
      </c>
      <c r="D24" s="1" t="s">
        <v>235</v>
      </c>
      <c r="E24" s="1">
        <v>-15.607200000000001</v>
      </c>
      <c r="F24" s="1">
        <v>13.574999999999999</v>
      </c>
      <c r="G24" s="1">
        <v>1998</v>
      </c>
      <c r="H24" s="1">
        <v>1998</v>
      </c>
      <c r="I24" s="1" t="s">
        <v>76</v>
      </c>
      <c r="J24" s="1">
        <v>47</v>
      </c>
      <c r="K24" s="1">
        <v>74</v>
      </c>
      <c r="L24" s="1">
        <v>18008244</v>
      </c>
      <c r="M24" s="1" t="s">
        <v>347</v>
      </c>
    </row>
    <row r="25" spans="1:13" x14ac:dyDescent="0.2">
      <c r="A25" s="1" t="s">
        <v>233</v>
      </c>
      <c r="B25" s="1" t="s">
        <v>238</v>
      </c>
      <c r="C25" s="1" t="s">
        <v>227</v>
      </c>
      <c r="D25" s="1" t="s">
        <v>235</v>
      </c>
      <c r="E25" s="1">
        <v>-15.607200000000001</v>
      </c>
      <c r="F25" s="1">
        <v>13.574999999999999</v>
      </c>
      <c r="G25" s="1">
        <v>1998</v>
      </c>
      <c r="H25" s="1">
        <v>1998</v>
      </c>
      <c r="I25" s="1" t="s">
        <v>75</v>
      </c>
      <c r="J25" s="1">
        <v>8</v>
      </c>
      <c r="K25" s="1">
        <v>74</v>
      </c>
      <c r="L25" s="1">
        <v>18008244</v>
      </c>
      <c r="M25" s="1" t="s">
        <v>346</v>
      </c>
    </row>
    <row r="26" spans="1:13" x14ac:dyDescent="0.2">
      <c r="A26" s="1" t="s">
        <v>233</v>
      </c>
      <c r="B26" s="1" t="s">
        <v>239</v>
      </c>
      <c r="C26" s="1" t="s">
        <v>227</v>
      </c>
      <c r="D26" s="1" t="s">
        <v>235</v>
      </c>
      <c r="E26" s="1">
        <v>-15.607200000000001</v>
      </c>
      <c r="F26" s="1">
        <v>13.574999999999999</v>
      </c>
      <c r="G26" s="1">
        <v>2002</v>
      </c>
      <c r="H26" s="1">
        <v>2002</v>
      </c>
      <c r="I26" s="1" t="s">
        <v>71</v>
      </c>
      <c r="J26" s="1">
        <v>41</v>
      </c>
      <c r="K26" s="1">
        <v>86</v>
      </c>
      <c r="L26" s="1">
        <v>18008244</v>
      </c>
      <c r="M26" s="1" t="s">
        <v>347</v>
      </c>
    </row>
    <row r="27" spans="1:13" x14ac:dyDescent="0.2">
      <c r="A27" s="1" t="s">
        <v>233</v>
      </c>
      <c r="B27" s="1" t="s">
        <v>239</v>
      </c>
      <c r="C27" s="1" t="s">
        <v>227</v>
      </c>
      <c r="D27" s="1" t="s">
        <v>235</v>
      </c>
      <c r="E27" s="1">
        <v>-15.607200000000001</v>
      </c>
      <c r="F27" s="1">
        <v>13.574999999999999</v>
      </c>
      <c r="G27" s="1">
        <v>2002</v>
      </c>
      <c r="H27" s="1">
        <v>2002</v>
      </c>
      <c r="I27" s="1" t="s">
        <v>73</v>
      </c>
      <c r="J27" s="1">
        <v>39</v>
      </c>
      <c r="K27" s="1">
        <v>86</v>
      </c>
      <c r="L27" s="1">
        <v>18008244</v>
      </c>
      <c r="M27" s="1" t="s">
        <v>347</v>
      </c>
    </row>
    <row r="28" spans="1:13" x14ac:dyDescent="0.2">
      <c r="A28" s="1" t="s">
        <v>233</v>
      </c>
      <c r="B28" s="1" t="s">
        <v>239</v>
      </c>
      <c r="C28" s="1" t="s">
        <v>227</v>
      </c>
      <c r="D28" s="1" t="s">
        <v>235</v>
      </c>
      <c r="E28" s="1">
        <v>-15.607200000000001</v>
      </c>
      <c r="F28" s="1">
        <v>13.574999999999999</v>
      </c>
      <c r="G28" s="1">
        <v>2002</v>
      </c>
      <c r="H28" s="1">
        <v>2002</v>
      </c>
      <c r="I28" s="1" t="s">
        <v>72</v>
      </c>
      <c r="J28" s="1">
        <v>6</v>
      </c>
      <c r="K28" s="1">
        <v>86</v>
      </c>
      <c r="L28" s="1">
        <v>18008244</v>
      </c>
      <c r="M28" s="1" t="s">
        <v>346</v>
      </c>
    </row>
    <row r="29" spans="1:13" x14ac:dyDescent="0.2">
      <c r="A29" s="1" t="s">
        <v>233</v>
      </c>
      <c r="B29" s="1" t="s">
        <v>239</v>
      </c>
      <c r="C29" s="1" t="s">
        <v>227</v>
      </c>
      <c r="D29" s="1" t="s">
        <v>235</v>
      </c>
      <c r="E29" s="1">
        <v>-15.607200000000001</v>
      </c>
      <c r="F29" s="1">
        <v>13.574999999999999</v>
      </c>
      <c r="G29" s="1">
        <v>2002</v>
      </c>
      <c r="H29" s="1">
        <v>2002</v>
      </c>
      <c r="I29" s="1" t="s">
        <v>74</v>
      </c>
      <c r="J29" s="1">
        <v>29</v>
      </c>
      <c r="K29" s="1">
        <v>83</v>
      </c>
      <c r="L29" s="1">
        <v>18008244</v>
      </c>
      <c r="M29" s="1" t="s">
        <v>347</v>
      </c>
    </row>
    <row r="30" spans="1:13" x14ac:dyDescent="0.2">
      <c r="A30" s="1" t="s">
        <v>233</v>
      </c>
      <c r="B30" s="1" t="s">
        <v>239</v>
      </c>
      <c r="C30" s="1" t="s">
        <v>227</v>
      </c>
      <c r="D30" s="1" t="s">
        <v>235</v>
      </c>
      <c r="E30" s="1">
        <v>-15.607200000000001</v>
      </c>
      <c r="F30" s="1">
        <v>13.574999999999999</v>
      </c>
      <c r="G30" s="1">
        <v>2002</v>
      </c>
      <c r="H30" s="1">
        <v>2002</v>
      </c>
      <c r="I30" s="1" t="s">
        <v>76</v>
      </c>
      <c r="J30" s="1">
        <v>41</v>
      </c>
      <c r="K30" s="1">
        <v>83</v>
      </c>
      <c r="L30" s="1">
        <v>18008244</v>
      </c>
      <c r="M30" s="1" t="s">
        <v>347</v>
      </c>
    </row>
    <row r="31" spans="1:13" x14ac:dyDescent="0.2">
      <c r="A31" s="1" t="s">
        <v>233</v>
      </c>
      <c r="B31" s="1" t="s">
        <v>239</v>
      </c>
      <c r="C31" s="1" t="s">
        <v>227</v>
      </c>
      <c r="D31" s="1" t="s">
        <v>235</v>
      </c>
      <c r="E31" s="1">
        <v>-15.607200000000001</v>
      </c>
      <c r="F31" s="1">
        <v>13.574999999999999</v>
      </c>
      <c r="G31" s="1">
        <v>2002</v>
      </c>
      <c r="H31" s="1">
        <v>2002</v>
      </c>
      <c r="I31" s="1" t="s">
        <v>75</v>
      </c>
      <c r="J31" s="1">
        <v>13</v>
      </c>
      <c r="K31" s="1">
        <v>83</v>
      </c>
      <c r="L31" s="1">
        <v>18008244</v>
      </c>
      <c r="M31" s="1" t="s">
        <v>346</v>
      </c>
    </row>
  </sheetData>
  <pageMargins left="0.7" right="0.7" top="0.75" bottom="0.75" header="0.511811023622047" footer="0.511811023622047"/>
  <pageSetup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F5E41-7ECA-B746-A817-6F1BD34021BB}">
  <dimension ref="A1:M5"/>
  <sheetViews>
    <sheetView topLeftCell="I1" zoomScaleNormal="100" workbookViewId="0">
      <selection activeCell="L12" sqref="L12"/>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84</v>
      </c>
      <c r="B2" s="1" t="s">
        <v>85</v>
      </c>
      <c r="C2" s="1" t="s">
        <v>7</v>
      </c>
      <c r="D2" s="1" t="s">
        <v>86</v>
      </c>
      <c r="E2" s="1">
        <v>-1.3</v>
      </c>
      <c r="F2" s="1">
        <v>12.5822</v>
      </c>
      <c r="G2" s="1">
        <v>2002</v>
      </c>
      <c r="H2" s="1">
        <v>2002</v>
      </c>
      <c r="I2" s="1" t="s">
        <v>71</v>
      </c>
      <c r="J2" s="1">
        <v>409</v>
      </c>
      <c r="K2" s="1">
        <v>999</v>
      </c>
      <c r="L2" s="1">
        <v>17538894</v>
      </c>
    </row>
    <row r="3" spans="1:13" x14ac:dyDescent="0.2">
      <c r="A3" s="1" t="s">
        <v>84</v>
      </c>
      <c r="B3" s="1" t="s">
        <v>85</v>
      </c>
      <c r="C3" s="1" t="s">
        <v>7</v>
      </c>
      <c r="D3" s="1" t="s">
        <v>86</v>
      </c>
      <c r="E3" s="1">
        <v>-1.3</v>
      </c>
      <c r="F3" s="1">
        <v>12.5822</v>
      </c>
      <c r="G3" s="1">
        <v>2002</v>
      </c>
      <c r="H3" s="1">
        <v>2002</v>
      </c>
      <c r="I3" s="1" t="s">
        <v>73</v>
      </c>
      <c r="J3" s="1">
        <v>590</v>
      </c>
      <c r="K3" s="1">
        <v>999</v>
      </c>
      <c r="L3" s="1">
        <v>17538894</v>
      </c>
      <c r="M3" s="1" t="s">
        <v>348</v>
      </c>
    </row>
    <row r="4" spans="1:13" x14ac:dyDescent="0.2">
      <c r="A4" s="1" t="s">
        <v>84</v>
      </c>
      <c r="B4" s="1" t="s">
        <v>85</v>
      </c>
      <c r="C4" s="1" t="s">
        <v>7</v>
      </c>
      <c r="D4" s="1" t="s">
        <v>86</v>
      </c>
      <c r="E4" s="1">
        <v>-1.3</v>
      </c>
      <c r="F4" s="1">
        <v>12.5822</v>
      </c>
      <c r="G4" s="1">
        <v>2002</v>
      </c>
      <c r="H4" s="1">
        <v>2002</v>
      </c>
      <c r="I4" s="1" t="s">
        <v>74</v>
      </c>
      <c r="J4" s="1">
        <v>445</v>
      </c>
      <c r="K4" s="1">
        <v>999</v>
      </c>
      <c r="L4" s="1">
        <v>17538894</v>
      </c>
    </row>
    <row r="5" spans="1:13" x14ac:dyDescent="0.2">
      <c r="A5" s="1" t="s">
        <v>84</v>
      </c>
      <c r="B5" s="1" t="s">
        <v>85</v>
      </c>
      <c r="C5" s="1" t="s">
        <v>7</v>
      </c>
      <c r="D5" s="1" t="s">
        <v>86</v>
      </c>
      <c r="E5" s="1">
        <v>-1.3</v>
      </c>
      <c r="F5" s="1">
        <v>12.5822</v>
      </c>
      <c r="G5" s="1">
        <v>2002</v>
      </c>
      <c r="H5" s="1">
        <v>2002</v>
      </c>
      <c r="I5" s="1" t="s">
        <v>76</v>
      </c>
      <c r="J5" s="1">
        <v>554</v>
      </c>
      <c r="K5" s="1">
        <v>999</v>
      </c>
      <c r="L5" s="1">
        <v>17538894</v>
      </c>
      <c r="M5" s="1" t="s">
        <v>348</v>
      </c>
    </row>
  </sheetData>
  <pageMargins left="0.7" right="0.7" top="0.75" bottom="0.75" header="0.511811023622047" footer="0.511811023622047"/>
  <pageSetup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5BDB-9B87-7346-B074-542E9FECF46B}">
  <dimension ref="A1:M7"/>
  <sheetViews>
    <sheetView topLeftCell="I1" zoomScaleNormal="100" workbookViewId="0">
      <selection activeCell="L12" sqref="L12"/>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158</v>
      </c>
      <c r="B2" s="1" t="s">
        <v>159</v>
      </c>
      <c r="C2" s="1" t="s">
        <v>160</v>
      </c>
      <c r="D2" s="1" t="s">
        <v>160</v>
      </c>
      <c r="E2" s="1">
        <v>-15.6</v>
      </c>
      <c r="F2" s="1">
        <v>11.8667</v>
      </c>
      <c r="G2" s="1">
        <v>2001</v>
      </c>
      <c r="H2" s="1">
        <v>2004</v>
      </c>
      <c r="I2" s="1" t="s">
        <v>71</v>
      </c>
      <c r="J2" s="1">
        <v>84</v>
      </c>
      <c r="K2" s="1">
        <v>478</v>
      </c>
      <c r="L2" s="1">
        <v>17488902</v>
      </c>
      <c r="M2" s="1" t="s">
        <v>350</v>
      </c>
    </row>
    <row r="3" spans="1:13" x14ac:dyDescent="0.2">
      <c r="A3" s="1" t="s">
        <v>158</v>
      </c>
      <c r="B3" s="1" t="s">
        <v>159</v>
      </c>
      <c r="C3" s="1" t="s">
        <v>160</v>
      </c>
      <c r="D3" s="1" t="s">
        <v>160</v>
      </c>
      <c r="E3" s="1">
        <v>-15.6</v>
      </c>
      <c r="F3" s="1">
        <v>11.8667</v>
      </c>
      <c r="G3" s="1">
        <v>2001</v>
      </c>
      <c r="H3" s="1">
        <v>2004</v>
      </c>
      <c r="I3" s="1" t="s">
        <v>73</v>
      </c>
      <c r="J3" s="1">
        <v>367</v>
      </c>
      <c r="K3" s="1">
        <v>478</v>
      </c>
      <c r="L3" s="1">
        <v>17488902</v>
      </c>
      <c r="M3" s="1" t="s">
        <v>350</v>
      </c>
    </row>
    <row r="4" spans="1:13" x14ac:dyDescent="0.2">
      <c r="A4" s="1" t="s">
        <v>158</v>
      </c>
      <c r="B4" s="1" t="s">
        <v>159</v>
      </c>
      <c r="C4" s="1" t="s">
        <v>160</v>
      </c>
      <c r="D4" s="1" t="s">
        <v>160</v>
      </c>
      <c r="E4" s="1">
        <v>-15.6</v>
      </c>
      <c r="F4" s="1">
        <v>11.8667</v>
      </c>
      <c r="G4" s="1">
        <v>2001</v>
      </c>
      <c r="H4" s="1">
        <v>2004</v>
      </c>
      <c r="I4" s="1" t="s">
        <v>72</v>
      </c>
      <c r="J4" s="1">
        <v>27</v>
      </c>
      <c r="K4" s="1">
        <v>478</v>
      </c>
      <c r="L4" s="1">
        <v>17488902</v>
      </c>
      <c r="M4" s="1" t="s">
        <v>349</v>
      </c>
    </row>
    <row r="5" spans="1:13" x14ac:dyDescent="0.2">
      <c r="A5" s="1" t="s">
        <v>158</v>
      </c>
      <c r="B5" s="1" t="s">
        <v>159</v>
      </c>
      <c r="C5" s="1" t="s">
        <v>160</v>
      </c>
      <c r="D5" s="1" t="s">
        <v>160</v>
      </c>
      <c r="E5" s="1">
        <v>-15.6</v>
      </c>
      <c r="F5" s="1">
        <v>11.8667</v>
      </c>
      <c r="G5" s="1">
        <v>2001</v>
      </c>
      <c r="H5" s="1">
        <v>2004</v>
      </c>
      <c r="I5" s="1" t="s">
        <v>74</v>
      </c>
      <c r="J5" s="1">
        <v>141</v>
      </c>
      <c r="K5" s="1">
        <v>477</v>
      </c>
      <c r="L5" s="1">
        <v>17488902</v>
      </c>
      <c r="M5" s="1" t="s">
        <v>350</v>
      </c>
    </row>
    <row r="6" spans="1:13" x14ac:dyDescent="0.2">
      <c r="A6" s="1" t="s">
        <v>158</v>
      </c>
      <c r="B6" s="1" t="s">
        <v>159</v>
      </c>
      <c r="C6" s="1" t="s">
        <v>160</v>
      </c>
      <c r="D6" s="1" t="s">
        <v>160</v>
      </c>
      <c r="E6" s="1">
        <v>-15.6</v>
      </c>
      <c r="F6" s="1">
        <v>11.8667</v>
      </c>
      <c r="G6" s="1">
        <v>2001</v>
      </c>
      <c r="H6" s="1">
        <v>2004</v>
      </c>
      <c r="I6" s="1" t="s">
        <v>76</v>
      </c>
      <c r="J6" s="1">
        <v>250</v>
      </c>
      <c r="K6" s="1">
        <v>477</v>
      </c>
      <c r="L6" s="1">
        <v>17488902</v>
      </c>
      <c r="M6" s="1" t="s">
        <v>350</v>
      </c>
    </row>
    <row r="7" spans="1:13" x14ac:dyDescent="0.2">
      <c r="A7" s="1" t="s">
        <v>158</v>
      </c>
      <c r="B7" s="1" t="s">
        <v>159</v>
      </c>
      <c r="C7" s="1" t="s">
        <v>160</v>
      </c>
      <c r="D7" s="1" t="s">
        <v>160</v>
      </c>
      <c r="E7" s="1">
        <v>-15.6</v>
      </c>
      <c r="F7" s="1">
        <v>11.8667</v>
      </c>
      <c r="G7" s="1">
        <v>2001</v>
      </c>
      <c r="H7" s="1">
        <v>2004</v>
      </c>
      <c r="I7" s="1" t="s">
        <v>75</v>
      </c>
      <c r="J7" s="1">
        <v>86</v>
      </c>
      <c r="K7" s="1">
        <v>477</v>
      </c>
      <c r="L7" s="1">
        <v>17488902</v>
      </c>
      <c r="M7" s="1" t="s">
        <v>349</v>
      </c>
    </row>
  </sheetData>
  <pageMargins left="0.7" right="0.7" top="0.75" bottom="0.75" header="0.511811023622047" footer="0.511811023622047"/>
  <pageSetup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67590-3923-B04E-AA43-7D3B7FD37586}">
  <dimension ref="A1:M7"/>
  <sheetViews>
    <sheetView topLeftCell="I1" zoomScaleNormal="100" workbookViewId="0">
      <selection activeCell="L12" sqref="L12"/>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218</v>
      </c>
      <c r="B2" s="1" t="s">
        <v>219</v>
      </c>
      <c r="C2" s="1" t="s">
        <v>14</v>
      </c>
      <c r="D2" s="1" t="s">
        <v>220</v>
      </c>
      <c r="E2" s="1">
        <v>33.450000000000003</v>
      </c>
      <c r="F2" s="1">
        <v>-8.9</v>
      </c>
      <c r="G2" s="1">
        <v>2004</v>
      </c>
      <c r="H2" s="1">
        <v>2005</v>
      </c>
      <c r="I2" s="1" t="s">
        <v>71</v>
      </c>
      <c r="J2" s="1">
        <v>37</v>
      </c>
      <c r="K2" s="1">
        <v>86</v>
      </c>
      <c r="L2" s="1">
        <v>17224049</v>
      </c>
    </row>
    <row r="3" spans="1:13" x14ac:dyDescent="0.2">
      <c r="A3" s="1" t="s">
        <v>218</v>
      </c>
      <c r="B3" s="1" t="s">
        <v>219</v>
      </c>
      <c r="C3" s="1" t="s">
        <v>14</v>
      </c>
      <c r="D3" s="1" t="s">
        <v>220</v>
      </c>
      <c r="E3" s="1">
        <v>33.450000000000003</v>
      </c>
      <c r="F3" s="1">
        <v>-8.9</v>
      </c>
      <c r="G3" s="1">
        <v>2004</v>
      </c>
      <c r="H3" s="1">
        <v>2005</v>
      </c>
      <c r="I3" s="1" t="s">
        <v>72</v>
      </c>
      <c r="J3" s="1">
        <v>6</v>
      </c>
      <c r="K3" s="1">
        <v>86</v>
      </c>
      <c r="L3" s="1">
        <v>17224049</v>
      </c>
    </row>
    <row r="4" spans="1:13" x14ac:dyDescent="0.2">
      <c r="A4" s="1" t="s">
        <v>218</v>
      </c>
      <c r="B4" s="1" t="s">
        <v>219</v>
      </c>
      <c r="C4" s="1" t="s">
        <v>14</v>
      </c>
      <c r="D4" s="1" t="s">
        <v>220</v>
      </c>
      <c r="E4" s="1">
        <v>33.450000000000003</v>
      </c>
      <c r="F4" s="1">
        <v>-8.9</v>
      </c>
      <c r="G4" s="1">
        <v>2004</v>
      </c>
      <c r="H4" s="1">
        <v>2005</v>
      </c>
      <c r="I4" s="1" t="s">
        <v>73</v>
      </c>
      <c r="J4" s="1">
        <v>43</v>
      </c>
      <c r="K4" s="1">
        <v>86</v>
      </c>
      <c r="L4" s="1">
        <v>17224049</v>
      </c>
      <c r="M4" s="1" t="s">
        <v>315</v>
      </c>
    </row>
    <row r="5" spans="1:13" x14ac:dyDescent="0.2">
      <c r="A5" s="1" t="s">
        <v>218</v>
      </c>
      <c r="B5" s="1" t="s">
        <v>219</v>
      </c>
      <c r="C5" s="1" t="s">
        <v>14</v>
      </c>
      <c r="D5" s="1" t="s">
        <v>220</v>
      </c>
      <c r="E5" s="1">
        <v>33.450000000000003</v>
      </c>
      <c r="F5" s="1">
        <v>-8.9</v>
      </c>
      <c r="G5" s="1">
        <v>2004</v>
      </c>
      <c r="H5" s="1">
        <v>2005</v>
      </c>
      <c r="I5" s="1" t="s">
        <v>74</v>
      </c>
      <c r="J5" s="1">
        <v>38</v>
      </c>
      <c r="K5" s="1">
        <v>85</v>
      </c>
      <c r="L5" s="1">
        <v>17224049</v>
      </c>
    </row>
    <row r="6" spans="1:13" x14ac:dyDescent="0.2">
      <c r="A6" s="1" t="s">
        <v>218</v>
      </c>
      <c r="B6" s="1" t="s">
        <v>219</v>
      </c>
      <c r="C6" s="1" t="s">
        <v>14</v>
      </c>
      <c r="D6" s="1" t="s">
        <v>220</v>
      </c>
      <c r="E6" s="1">
        <v>33.450000000000003</v>
      </c>
      <c r="F6" s="1">
        <v>-8.9</v>
      </c>
      <c r="G6" s="1">
        <v>2004</v>
      </c>
      <c r="H6" s="1">
        <v>2005</v>
      </c>
      <c r="I6" s="1" t="s">
        <v>75</v>
      </c>
      <c r="J6" s="1">
        <v>6</v>
      </c>
      <c r="K6" s="1">
        <v>85</v>
      </c>
      <c r="L6" s="1">
        <v>17224049</v>
      </c>
    </row>
    <row r="7" spans="1:13" x14ac:dyDescent="0.2">
      <c r="A7" s="1" t="s">
        <v>218</v>
      </c>
      <c r="B7" s="1" t="s">
        <v>219</v>
      </c>
      <c r="C7" s="1" t="s">
        <v>14</v>
      </c>
      <c r="D7" s="1" t="s">
        <v>220</v>
      </c>
      <c r="E7" s="1">
        <v>33.450000000000003</v>
      </c>
      <c r="F7" s="1">
        <v>-8.9</v>
      </c>
      <c r="G7" s="1">
        <v>2004</v>
      </c>
      <c r="H7" s="1">
        <v>2005</v>
      </c>
      <c r="I7" s="1" t="s">
        <v>76</v>
      </c>
      <c r="J7" s="1">
        <v>41</v>
      </c>
      <c r="K7" s="1">
        <v>85</v>
      </c>
      <c r="L7" s="1">
        <v>17224049</v>
      </c>
      <c r="M7" s="1" t="s">
        <v>315</v>
      </c>
    </row>
  </sheetData>
  <pageMargins left="0.7" right="0.7" top="0.75" bottom="0.75" header="0.511811023622047" footer="0.511811023622047"/>
  <pageSetup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AA73F-2335-474F-9844-0F1BFAAB9A11}">
  <dimension ref="A1:M31"/>
  <sheetViews>
    <sheetView topLeftCell="I1" zoomScaleNormal="100" workbookViewId="0">
      <selection activeCell="L12" sqref="L12"/>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139</v>
      </c>
      <c r="B2" s="1" t="s">
        <v>140</v>
      </c>
      <c r="C2" s="1" t="s">
        <v>10</v>
      </c>
      <c r="D2" s="1" t="s">
        <v>141</v>
      </c>
      <c r="E2" s="1">
        <v>0.46</v>
      </c>
      <c r="F2" s="1">
        <v>7.15</v>
      </c>
      <c r="G2" s="1">
        <v>2004</v>
      </c>
      <c r="H2" s="1">
        <v>2004</v>
      </c>
      <c r="I2" s="1" t="s">
        <v>73</v>
      </c>
      <c r="J2" s="1">
        <v>26</v>
      </c>
      <c r="K2" s="1">
        <v>130</v>
      </c>
      <c r="L2" s="1">
        <v>17158810</v>
      </c>
    </row>
    <row r="3" spans="1:13" x14ac:dyDescent="0.2">
      <c r="A3" s="1" t="s">
        <v>139</v>
      </c>
      <c r="B3" s="1" t="s">
        <v>140</v>
      </c>
      <c r="C3" s="1" t="s">
        <v>10</v>
      </c>
      <c r="D3" s="1" t="s">
        <v>141</v>
      </c>
      <c r="E3" s="1">
        <v>0.46</v>
      </c>
      <c r="F3" s="1">
        <v>7.15</v>
      </c>
      <c r="G3" s="1">
        <v>2004</v>
      </c>
      <c r="H3" s="1">
        <v>2004</v>
      </c>
      <c r="I3" s="1" t="s">
        <v>71</v>
      </c>
      <c r="J3" s="1">
        <v>58</v>
      </c>
      <c r="K3" s="1">
        <v>130</v>
      </c>
      <c r="L3" s="1">
        <v>17158810</v>
      </c>
      <c r="M3" s="1" t="s">
        <v>315</v>
      </c>
    </row>
    <row r="4" spans="1:13" x14ac:dyDescent="0.2">
      <c r="A4" s="1" t="s">
        <v>139</v>
      </c>
      <c r="B4" s="1" t="s">
        <v>140</v>
      </c>
      <c r="C4" s="1" t="s">
        <v>10</v>
      </c>
      <c r="D4" s="1" t="s">
        <v>141</v>
      </c>
      <c r="E4" s="1">
        <v>0.46</v>
      </c>
      <c r="F4" s="1">
        <v>7.15</v>
      </c>
      <c r="G4" s="1">
        <v>2004</v>
      </c>
      <c r="H4" s="1">
        <v>2004</v>
      </c>
      <c r="I4" s="1" t="s">
        <v>72</v>
      </c>
      <c r="J4" s="1">
        <v>46</v>
      </c>
      <c r="K4" s="1">
        <v>130</v>
      </c>
      <c r="L4" s="1">
        <v>17158810</v>
      </c>
    </row>
    <row r="5" spans="1:13" x14ac:dyDescent="0.2">
      <c r="A5" s="1" t="s">
        <v>139</v>
      </c>
      <c r="B5" s="1" t="s">
        <v>140</v>
      </c>
      <c r="C5" s="1" t="s">
        <v>10</v>
      </c>
      <c r="D5" s="1" t="s">
        <v>141</v>
      </c>
      <c r="E5" s="1">
        <v>0.46</v>
      </c>
      <c r="F5" s="1">
        <v>7.15</v>
      </c>
      <c r="G5" s="1">
        <v>2004</v>
      </c>
      <c r="H5" s="1">
        <v>2004</v>
      </c>
      <c r="I5" s="1" t="s">
        <v>76</v>
      </c>
      <c r="J5" s="1">
        <v>29</v>
      </c>
      <c r="K5" s="1">
        <v>130</v>
      </c>
      <c r="L5" s="1">
        <v>17158810</v>
      </c>
    </row>
    <row r="6" spans="1:13" x14ac:dyDescent="0.2">
      <c r="A6" s="1" t="s">
        <v>139</v>
      </c>
      <c r="B6" s="1" t="s">
        <v>140</v>
      </c>
      <c r="C6" s="1" t="s">
        <v>10</v>
      </c>
      <c r="D6" s="1" t="s">
        <v>141</v>
      </c>
      <c r="E6" s="1">
        <v>0.46</v>
      </c>
      <c r="F6" s="1">
        <v>7.15</v>
      </c>
      <c r="G6" s="1">
        <v>2004</v>
      </c>
      <c r="H6" s="1">
        <v>2004</v>
      </c>
      <c r="I6" s="1" t="s">
        <v>74</v>
      </c>
      <c r="J6" s="1">
        <v>78</v>
      </c>
      <c r="K6" s="1">
        <v>130</v>
      </c>
      <c r="L6" s="1">
        <v>17158810</v>
      </c>
    </row>
    <row r="7" spans="1:13" x14ac:dyDescent="0.2">
      <c r="A7" s="1" t="s">
        <v>139</v>
      </c>
      <c r="B7" s="1" t="s">
        <v>140</v>
      </c>
      <c r="C7" s="1" t="s">
        <v>10</v>
      </c>
      <c r="D7" s="1" t="s">
        <v>141</v>
      </c>
      <c r="E7" s="1">
        <v>0.46</v>
      </c>
      <c r="F7" s="1">
        <v>7.15</v>
      </c>
      <c r="G7" s="1">
        <v>2004</v>
      </c>
      <c r="H7" s="1">
        <v>2004</v>
      </c>
      <c r="I7" s="1" t="s">
        <v>75</v>
      </c>
      <c r="J7" s="1">
        <v>23</v>
      </c>
      <c r="K7" s="1">
        <v>130</v>
      </c>
      <c r="L7" s="1">
        <v>17158810</v>
      </c>
    </row>
    <row r="8" spans="1:13" x14ac:dyDescent="0.2">
      <c r="A8" s="1" t="s">
        <v>139</v>
      </c>
      <c r="B8" s="1" t="s">
        <v>142</v>
      </c>
      <c r="C8" s="1" t="s">
        <v>10</v>
      </c>
      <c r="D8" s="1" t="s">
        <v>143</v>
      </c>
      <c r="E8" s="1">
        <v>-1.1000000000000001</v>
      </c>
      <c r="F8" s="1">
        <v>10.9</v>
      </c>
      <c r="G8" s="1">
        <v>2004</v>
      </c>
      <c r="H8" s="1">
        <v>2004</v>
      </c>
      <c r="I8" s="1" t="s">
        <v>73</v>
      </c>
      <c r="J8" s="1">
        <v>57</v>
      </c>
      <c r="K8" s="1">
        <v>105</v>
      </c>
      <c r="L8" s="1">
        <v>17158810</v>
      </c>
    </row>
    <row r="9" spans="1:13" x14ac:dyDescent="0.2">
      <c r="A9" s="1" t="s">
        <v>139</v>
      </c>
      <c r="B9" s="1" t="s">
        <v>142</v>
      </c>
      <c r="C9" s="1" t="s">
        <v>10</v>
      </c>
      <c r="D9" s="1" t="s">
        <v>143</v>
      </c>
      <c r="E9" s="1">
        <v>-1.1000000000000001</v>
      </c>
      <c r="F9" s="1">
        <v>10.9</v>
      </c>
      <c r="G9" s="1">
        <v>2004</v>
      </c>
      <c r="H9" s="1">
        <v>2004</v>
      </c>
      <c r="I9" s="1" t="s">
        <v>71</v>
      </c>
      <c r="J9" s="1">
        <v>42</v>
      </c>
      <c r="K9" s="1">
        <v>105</v>
      </c>
      <c r="L9" s="1">
        <v>17158810</v>
      </c>
    </row>
    <row r="10" spans="1:13" x14ac:dyDescent="0.2">
      <c r="A10" s="1" t="s">
        <v>139</v>
      </c>
      <c r="B10" s="1" t="s">
        <v>142</v>
      </c>
      <c r="C10" s="1" t="s">
        <v>10</v>
      </c>
      <c r="D10" s="1" t="s">
        <v>143</v>
      </c>
      <c r="E10" s="1">
        <v>-1.1000000000000001</v>
      </c>
      <c r="F10" s="1">
        <v>10.9</v>
      </c>
      <c r="G10" s="1">
        <v>2004</v>
      </c>
      <c r="H10" s="1">
        <v>2004</v>
      </c>
      <c r="I10" s="1" t="s">
        <v>72</v>
      </c>
      <c r="J10" s="1">
        <v>6</v>
      </c>
      <c r="K10" s="1">
        <v>105</v>
      </c>
      <c r="L10" s="1">
        <v>17158810</v>
      </c>
    </row>
    <row r="11" spans="1:13" x14ac:dyDescent="0.2">
      <c r="A11" s="1" t="s">
        <v>139</v>
      </c>
      <c r="B11" s="1" t="s">
        <v>142</v>
      </c>
      <c r="C11" s="1" t="s">
        <v>10</v>
      </c>
      <c r="D11" s="1" t="s">
        <v>143</v>
      </c>
      <c r="E11" s="1">
        <v>-1.1000000000000001</v>
      </c>
      <c r="F11" s="1">
        <v>10.9</v>
      </c>
      <c r="G11" s="1">
        <v>2004</v>
      </c>
      <c r="H11" s="1">
        <v>2004</v>
      </c>
      <c r="I11" s="1" t="s">
        <v>76</v>
      </c>
      <c r="J11" s="1">
        <v>44</v>
      </c>
      <c r="K11" s="1">
        <v>105</v>
      </c>
      <c r="L11" s="1">
        <v>17158810</v>
      </c>
    </row>
    <row r="12" spans="1:13" x14ac:dyDescent="0.2">
      <c r="A12" s="1" t="s">
        <v>139</v>
      </c>
      <c r="B12" s="1" t="s">
        <v>142</v>
      </c>
      <c r="C12" s="1" t="s">
        <v>10</v>
      </c>
      <c r="D12" s="1" t="s">
        <v>143</v>
      </c>
      <c r="E12" s="1">
        <v>-1.1000000000000001</v>
      </c>
      <c r="F12" s="1">
        <v>10.9</v>
      </c>
      <c r="G12" s="1">
        <v>2004</v>
      </c>
      <c r="H12" s="1">
        <v>2004</v>
      </c>
      <c r="I12" s="1" t="s">
        <v>74</v>
      </c>
      <c r="J12" s="1">
        <v>56</v>
      </c>
      <c r="K12" s="1">
        <v>105</v>
      </c>
      <c r="L12" s="1">
        <v>17158810</v>
      </c>
    </row>
    <row r="13" spans="1:13" x14ac:dyDescent="0.2">
      <c r="A13" s="1" t="s">
        <v>139</v>
      </c>
      <c r="B13" s="1" t="s">
        <v>142</v>
      </c>
      <c r="C13" s="1" t="s">
        <v>10</v>
      </c>
      <c r="D13" s="1" t="s">
        <v>143</v>
      </c>
      <c r="E13" s="1">
        <v>-1.1000000000000001</v>
      </c>
      <c r="F13" s="1">
        <v>10.9</v>
      </c>
      <c r="G13" s="1">
        <v>2004</v>
      </c>
      <c r="H13" s="1">
        <v>2004</v>
      </c>
      <c r="I13" s="1" t="s">
        <v>75</v>
      </c>
      <c r="J13" s="1">
        <v>5</v>
      </c>
      <c r="K13" s="1">
        <v>105</v>
      </c>
      <c r="L13" s="1">
        <v>17158810</v>
      </c>
    </row>
    <row r="14" spans="1:13" x14ac:dyDescent="0.2">
      <c r="A14" s="1" t="s">
        <v>139</v>
      </c>
      <c r="B14" s="1" t="s">
        <v>149</v>
      </c>
      <c r="C14" s="1" t="s">
        <v>10</v>
      </c>
      <c r="D14" s="1" t="s">
        <v>148</v>
      </c>
      <c r="E14" s="1">
        <v>-2.3330000000000002</v>
      </c>
      <c r="F14" s="1">
        <v>7.3330000000000002</v>
      </c>
      <c r="G14" s="1">
        <v>2004</v>
      </c>
      <c r="H14" s="1">
        <v>2004</v>
      </c>
      <c r="I14" s="1" t="s">
        <v>73</v>
      </c>
      <c r="J14" s="1">
        <v>24</v>
      </c>
      <c r="K14" s="1">
        <v>62</v>
      </c>
      <c r="L14" s="1">
        <v>17158810</v>
      </c>
    </row>
    <row r="15" spans="1:13" x14ac:dyDescent="0.2">
      <c r="A15" s="1" t="s">
        <v>139</v>
      </c>
      <c r="B15" s="1" t="s">
        <v>149</v>
      </c>
      <c r="C15" s="1" t="s">
        <v>10</v>
      </c>
      <c r="D15" s="1" t="s">
        <v>148</v>
      </c>
      <c r="E15" s="1">
        <v>-2.3330000000000002</v>
      </c>
      <c r="F15" s="1">
        <v>7.3330000000000002</v>
      </c>
      <c r="G15" s="1">
        <v>2004</v>
      </c>
      <c r="H15" s="1">
        <v>2004</v>
      </c>
      <c r="I15" s="1" t="s">
        <v>71</v>
      </c>
      <c r="J15" s="1">
        <v>37</v>
      </c>
      <c r="K15" s="1">
        <v>62</v>
      </c>
      <c r="L15" s="1">
        <v>17158810</v>
      </c>
    </row>
    <row r="16" spans="1:13" x14ac:dyDescent="0.2">
      <c r="A16" s="1" t="s">
        <v>139</v>
      </c>
      <c r="B16" s="1" t="s">
        <v>149</v>
      </c>
      <c r="C16" s="1" t="s">
        <v>10</v>
      </c>
      <c r="D16" s="1" t="s">
        <v>148</v>
      </c>
      <c r="E16" s="1">
        <v>-2.3330000000000002</v>
      </c>
      <c r="F16" s="1">
        <v>7.3330000000000002</v>
      </c>
      <c r="G16" s="1">
        <v>2004</v>
      </c>
      <c r="H16" s="1">
        <v>2004</v>
      </c>
      <c r="I16" s="1" t="s">
        <v>72</v>
      </c>
      <c r="J16" s="1">
        <v>1</v>
      </c>
      <c r="K16" s="1">
        <v>62</v>
      </c>
      <c r="L16" s="1">
        <v>17158810</v>
      </c>
    </row>
    <row r="17" spans="1:13" x14ac:dyDescent="0.2">
      <c r="A17" s="1" t="s">
        <v>139</v>
      </c>
      <c r="B17" s="1" t="s">
        <v>149</v>
      </c>
      <c r="C17" s="1" t="s">
        <v>10</v>
      </c>
      <c r="D17" s="1" t="s">
        <v>148</v>
      </c>
      <c r="E17" s="1">
        <v>-2.3330000000000002</v>
      </c>
      <c r="F17" s="1">
        <v>7.3330000000000002</v>
      </c>
      <c r="G17" s="1">
        <v>2004</v>
      </c>
      <c r="H17" s="1">
        <v>2004</v>
      </c>
      <c r="I17" s="1" t="s">
        <v>76</v>
      </c>
      <c r="J17" s="1">
        <v>29</v>
      </c>
      <c r="K17" s="1">
        <v>62</v>
      </c>
      <c r="L17" s="1">
        <v>17158810</v>
      </c>
    </row>
    <row r="18" spans="1:13" x14ac:dyDescent="0.2">
      <c r="A18" s="1" t="s">
        <v>139</v>
      </c>
      <c r="B18" s="1" t="s">
        <v>149</v>
      </c>
      <c r="C18" s="1" t="s">
        <v>10</v>
      </c>
      <c r="D18" s="1" t="s">
        <v>148</v>
      </c>
      <c r="E18" s="1">
        <v>-2.3330000000000002</v>
      </c>
      <c r="F18" s="1">
        <v>7.3330000000000002</v>
      </c>
      <c r="G18" s="1">
        <v>2004</v>
      </c>
      <c r="H18" s="1">
        <v>2004</v>
      </c>
      <c r="I18" s="1" t="s">
        <v>74</v>
      </c>
      <c r="J18" s="1">
        <v>24</v>
      </c>
      <c r="K18" s="1">
        <v>62</v>
      </c>
      <c r="L18" s="1">
        <v>17158810</v>
      </c>
    </row>
    <row r="19" spans="1:13" x14ac:dyDescent="0.2">
      <c r="A19" s="1" t="s">
        <v>139</v>
      </c>
      <c r="B19" s="1" t="s">
        <v>149</v>
      </c>
      <c r="C19" s="1" t="s">
        <v>10</v>
      </c>
      <c r="D19" s="1" t="s">
        <v>148</v>
      </c>
      <c r="E19" s="1">
        <v>-2.3330000000000002</v>
      </c>
      <c r="F19" s="1">
        <v>7.3330000000000002</v>
      </c>
      <c r="G19" s="1">
        <v>2004</v>
      </c>
      <c r="H19" s="1">
        <v>2004</v>
      </c>
      <c r="I19" s="1" t="s">
        <v>75</v>
      </c>
      <c r="J19" s="1">
        <v>9</v>
      </c>
      <c r="K19" s="1">
        <v>62</v>
      </c>
      <c r="L19" s="1">
        <v>17158810</v>
      </c>
    </row>
    <row r="20" spans="1:13" x14ac:dyDescent="0.2">
      <c r="A20" s="1" t="s">
        <v>139</v>
      </c>
      <c r="B20" s="1" t="s">
        <v>150</v>
      </c>
      <c r="C20" s="1" t="s">
        <v>10</v>
      </c>
      <c r="D20" s="1" t="s">
        <v>151</v>
      </c>
      <c r="E20" s="1">
        <v>-1.9830000000000001</v>
      </c>
      <c r="F20" s="1">
        <v>5.3</v>
      </c>
      <c r="G20" s="1">
        <v>2004</v>
      </c>
      <c r="H20" s="1">
        <v>2004</v>
      </c>
      <c r="I20" s="1" t="s">
        <v>73</v>
      </c>
      <c r="J20" s="1">
        <v>1</v>
      </c>
      <c r="K20" s="1">
        <v>42</v>
      </c>
      <c r="L20" s="1">
        <v>17158810</v>
      </c>
    </row>
    <row r="21" spans="1:13" x14ac:dyDescent="0.2">
      <c r="A21" s="1" t="s">
        <v>139</v>
      </c>
      <c r="B21" s="1" t="s">
        <v>150</v>
      </c>
      <c r="C21" s="1" t="s">
        <v>10</v>
      </c>
      <c r="D21" s="1" t="s">
        <v>151</v>
      </c>
      <c r="E21" s="1">
        <v>-1.9830000000000001</v>
      </c>
      <c r="F21" s="1">
        <v>5.3</v>
      </c>
      <c r="G21" s="1">
        <v>2004</v>
      </c>
      <c r="H21" s="1">
        <v>2004</v>
      </c>
      <c r="I21" s="1" t="s">
        <v>71</v>
      </c>
      <c r="J21" s="1">
        <v>35</v>
      </c>
      <c r="K21" s="1">
        <v>42</v>
      </c>
      <c r="L21" s="1">
        <v>17158810</v>
      </c>
    </row>
    <row r="22" spans="1:13" x14ac:dyDescent="0.2">
      <c r="A22" s="1" t="s">
        <v>139</v>
      </c>
      <c r="B22" s="1" t="s">
        <v>150</v>
      </c>
      <c r="C22" s="1" t="s">
        <v>10</v>
      </c>
      <c r="D22" s="1" t="s">
        <v>151</v>
      </c>
      <c r="E22" s="1">
        <v>-1.9830000000000001</v>
      </c>
      <c r="F22" s="1">
        <v>5.3</v>
      </c>
      <c r="G22" s="1">
        <v>2004</v>
      </c>
      <c r="H22" s="1">
        <v>2004</v>
      </c>
      <c r="I22" s="1" t="s">
        <v>72</v>
      </c>
      <c r="J22" s="1">
        <v>6</v>
      </c>
      <c r="K22" s="1">
        <v>42</v>
      </c>
      <c r="L22" s="1">
        <v>17158810</v>
      </c>
    </row>
    <row r="23" spans="1:13" x14ac:dyDescent="0.2">
      <c r="A23" s="1" t="s">
        <v>139</v>
      </c>
      <c r="B23" s="1" t="s">
        <v>150</v>
      </c>
      <c r="C23" s="1" t="s">
        <v>10</v>
      </c>
      <c r="D23" s="1" t="s">
        <v>151</v>
      </c>
      <c r="E23" s="1">
        <v>-1.9830000000000001</v>
      </c>
      <c r="F23" s="1">
        <v>5.3</v>
      </c>
      <c r="G23" s="1">
        <v>2004</v>
      </c>
      <c r="H23" s="1">
        <v>2004</v>
      </c>
      <c r="I23" s="1" t="s">
        <v>76</v>
      </c>
      <c r="J23" s="1">
        <v>2</v>
      </c>
      <c r="K23" s="1">
        <v>42</v>
      </c>
      <c r="L23" s="1">
        <v>17158810</v>
      </c>
    </row>
    <row r="24" spans="1:13" x14ac:dyDescent="0.2">
      <c r="A24" s="1" t="s">
        <v>139</v>
      </c>
      <c r="B24" s="1" t="s">
        <v>150</v>
      </c>
      <c r="C24" s="1" t="s">
        <v>10</v>
      </c>
      <c r="D24" s="1" t="s">
        <v>151</v>
      </c>
      <c r="E24" s="1">
        <v>-1.9830000000000001</v>
      </c>
      <c r="F24" s="1">
        <v>5.3</v>
      </c>
      <c r="G24" s="1">
        <v>2004</v>
      </c>
      <c r="H24" s="1">
        <v>2004</v>
      </c>
      <c r="I24" s="1" t="s">
        <v>74</v>
      </c>
      <c r="J24" s="1">
        <v>34</v>
      </c>
      <c r="K24" s="1">
        <v>42</v>
      </c>
      <c r="L24" s="1">
        <v>17158810</v>
      </c>
      <c r="M24" s="1" t="s">
        <v>315</v>
      </c>
    </row>
    <row r="25" spans="1:13" x14ac:dyDescent="0.2">
      <c r="A25" s="1" t="s">
        <v>139</v>
      </c>
      <c r="B25" s="1" t="s">
        <v>150</v>
      </c>
      <c r="C25" s="1" t="s">
        <v>10</v>
      </c>
      <c r="D25" s="1" t="s">
        <v>151</v>
      </c>
      <c r="E25" s="1">
        <v>-1.9830000000000001</v>
      </c>
      <c r="F25" s="1">
        <v>5.3</v>
      </c>
      <c r="G25" s="1">
        <v>2004</v>
      </c>
      <c r="H25" s="1">
        <v>2004</v>
      </c>
      <c r="I25" s="1" t="s">
        <v>75</v>
      </c>
      <c r="J25" s="1">
        <v>6</v>
      </c>
      <c r="K25" s="1">
        <v>42</v>
      </c>
      <c r="L25" s="1">
        <v>17158810</v>
      </c>
    </row>
    <row r="26" spans="1:13" x14ac:dyDescent="0.2">
      <c r="A26" s="1" t="s">
        <v>139</v>
      </c>
      <c r="B26" s="1" t="s">
        <v>156</v>
      </c>
      <c r="C26" s="1" t="s">
        <v>10</v>
      </c>
      <c r="D26" s="1" t="s">
        <v>157</v>
      </c>
      <c r="E26" s="1">
        <v>-1.6670000000000001E-2</v>
      </c>
      <c r="F26" s="1">
        <v>9.4332999999999991</v>
      </c>
      <c r="G26" s="1">
        <v>2004</v>
      </c>
      <c r="H26" s="1">
        <v>2004</v>
      </c>
      <c r="I26" s="1" t="s">
        <v>73</v>
      </c>
      <c r="J26" s="1">
        <v>36</v>
      </c>
      <c r="K26" s="1">
        <v>67</v>
      </c>
      <c r="L26" s="1">
        <v>17158810</v>
      </c>
    </row>
    <row r="27" spans="1:13" x14ac:dyDescent="0.2">
      <c r="A27" s="1" t="s">
        <v>139</v>
      </c>
      <c r="B27" s="1" t="s">
        <v>156</v>
      </c>
      <c r="C27" s="1" t="s">
        <v>10</v>
      </c>
      <c r="D27" s="1" t="s">
        <v>157</v>
      </c>
      <c r="E27" s="1">
        <v>-1.6670000000000001E-2</v>
      </c>
      <c r="F27" s="1">
        <v>9.4332999999999991</v>
      </c>
      <c r="G27" s="1">
        <v>2004</v>
      </c>
      <c r="H27" s="1">
        <v>2004</v>
      </c>
      <c r="I27" s="1" t="s">
        <v>71</v>
      </c>
      <c r="J27" s="1">
        <v>30</v>
      </c>
      <c r="K27" s="1">
        <v>67</v>
      </c>
      <c r="L27" s="1">
        <v>17158810</v>
      </c>
    </row>
    <row r="28" spans="1:13" x14ac:dyDescent="0.2">
      <c r="A28" s="1" t="s">
        <v>139</v>
      </c>
      <c r="B28" s="1" t="s">
        <v>156</v>
      </c>
      <c r="C28" s="1" t="s">
        <v>10</v>
      </c>
      <c r="D28" s="1" t="s">
        <v>157</v>
      </c>
      <c r="E28" s="1">
        <v>-1.6670000000000001E-2</v>
      </c>
      <c r="F28" s="1">
        <v>9.4332999999999991</v>
      </c>
      <c r="G28" s="1">
        <v>2004</v>
      </c>
      <c r="H28" s="1">
        <v>2004</v>
      </c>
      <c r="I28" s="1" t="s">
        <v>72</v>
      </c>
      <c r="J28" s="1">
        <v>1</v>
      </c>
      <c r="K28" s="1">
        <v>67</v>
      </c>
      <c r="L28" s="1">
        <v>17158810</v>
      </c>
    </row>
    <row r="29" spans="1:13" x14ac:dyDescent="0.2">
      <c r="A29" s="1" t="s">
        <v>139</v>
      </c>
      <c r="B29" s="1" t="s">
        <v>156</v>
      </c>
      <c r="C29" s="1" t="s">
        <v>10</v>
      </c>
      <c r="D29" s="1" t="s">
        <v>157</v>
      </c>
      <c r="E29" s="1">
        <v>-1.6670000000000001E-2</v>
      </c>
      <c r="F29" s="1">
        <v>9.4332999999999991</v>
      </c>
      <c r="G29" s="1">
        <v>2004</v>
      </c>
      <c r="H29" s="1">
        <v>2004</v>
      </c>
      <c r="I29" s="1" t="s">
        <v>76</v>
      </c>
      <c r="J29" s="1">
        <v>39</v>
      </c>
      <c r="K29" s="1">
        <v>67</v>
      </c>
      <c r="L29" s="1">
        <v>17158810</v>
      </c>
    </row>
    <row r="30" spans="1:13" x14ac:dyDescent="0.2">
      <c r="A30" s="1" t="s">
        <v>139</v>
      </c>
      <c r="B30" s="1" t="s">
        <v>156</v>
      </c>
      <c r="C30" s="1" t="s">
        <v>10</v>
      </c>
      <c r="D30" s="1" t="s">
        <v>157</v>
      </c>
      <c r="E30" s="1">
        <v>-1.6670000000000001E-2</v>
      </c>
      <c r="F30" s="1">
        <v>9.4332999999999991</v>
      </c>
      <c r="G30" s="1">
        <v>2004</v>
      </c>
      <c r="H30" s="1">
        <v>2004</v>
      </c>
      <c r="I30" s="1" t="s">
        <v>74</v>
      </c>
      <c r="J30" s="1">
        <v>20</v>
      </c>
      <c r="K30" s="1">
        <v>67</v>
      </c>
      <c r="L30" s="1">
        <v>17158810</v>
      </c>
    </row>
    <row r="31" spans="1:13" x14ac:dyDescent="0.2">
      <c r="A31" s="1" t="s">
        <v>139</v>
      </c>
      <c r="B31" s="1" t="s">
        <v>156</v>
      </c>
      <c r="C31" s="1" t="s">
        <v>10</v>
      </c>
      <c r="D31" s="1" t="s">
        <v>157</v>
      </c>
      <c r="E31" s="1">
        <v>-1.6670000000000001E-2</v>
      </c>
      <c r="F31" s="1">
        <v>9.4332999999999991</v>
      </c>
      <c r="G31" s="1">
        <v>2004</v>
      </c>
      <c r="H31" s="1">
        <v>2004</v>
      </c>
      <c r="I31" s="1" t="s">
        <v>75</v>
      </c>
      <c r="J31" s="1">
        <v>8</v>
      </c>
      <c r="K31" s="1">
        <v>67</v>
      </c>
      <c r="L31" s="1">
        <v>17158810</v>
      </c>
    </row>
  </sheetData>
  <pageMargins left="0.7" right="0.7" top="0.75" bottom="0.75" header="0.511811023622047" footer="0.511811023622047"/>
  <pageSetup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C457-367D-5C48-8261-46FD5A0368BC}">
  <dimension ref="A1:M7"/>
  <sheetViews>
    <sheetView topLeftCell="I1" zoomScaleNormal="100" workbookViewId="0">
      <selection activeCell="L12" sqref="L12"/>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115</v>
      </c>
      <c r="B2" s="1" t="s">
        <v>116</v>
      </c>
      <c r="C2" s="1" t="s">
        <v>31</v>
      </c>
      <c r="D2" s="1" t="s">
        <v>117</v>
      </c>
      <c r="E2" s="1">
        <v>10.240399999999999</v>
      </c>
      <c r="F2" s="1">
        <v>-0.701546</v>
      </c>
      <c r="G2" s="1">
        <v>2002</v>
      </c>
      <c r="H2" s="1">
        <v>2002</v>
      </c>
      <c r="I2" s="1" t="s">
        <v>76</v>
      </c>
      <c r="J2" s="1">
        <v>2</v>
      </c>
      <c r="K2" s="1">
        <v>60</v>
      </c>
      <c r="L2" s="1">
        <v>17096149</v>
      </c>
    </row>
    <row r="3" spans="1:13" x14ac:dyDescent="0.2">
      <c r="A3" s="1" t="s">
        <v>115</v>
      </c>
      <c r="B3" s="1" t="s">
        <v>116</v>
      </c>
      <c r="C3" s="1" t="s">
        <v>31</v>
      </c>
      <c r="D3" s="1" t="s">
        <v>117</v>
      </c>
      <c r="E3" s="1">
        <v>10.240399999999999</v>
      </c>
      <c r="F3" s="1">
        <v>-0.701546</v>
      </c>
      <c r="G3" s="1">
        <v>2002</v>
      </c>
      <c r="H3" s="1">
        <v>2002</v>
      </c>
      <c r="I3" s="1" t="s">
        <v>74</v>
      </c>
      <c r="J3" s="1">
        <v>56</v>
      </c>
      <c r="K3" s="1">
        <v>60</v>
      </c>
      <c r="L3" s="1">
        <v>17096149</v>
      </c>
      <c r="M3" s="1" t="s">
        <v>315</v>
      </c>
    </row>
    <row r="4" spans="1:13" x14ac:dyDescent="0.2">
      <c r="A4" s="1" t="s">
        <v>115</v>
      </c>
      <c r="B4" s="1" t="s">
        <v>116</v>
      </c>
      <c r="C4" s="1" t="s">
        <v>31</v>
      </c>
      <c r="D4" s="1" t="s">
        <v>117</v>
      </c>
      <c r="E4" s="1">
        <v>10.240399999999999</v>
      </c>
      <c r="F4" s="1">
        <v>-0.701546</v>
      </c>
      <c r="G4" s="1">
        <v>2002</v>
      </c>
      <c r="H4" s="1">
        <v>2002</v>
      </c>
      <c r="I4" s="1" t="s">
        <v>75</v>
      </c>
      <c r="J4" s="1">
        <v>2</v>
      </c>
      <c r="K4" s="1">
        <v>60</v>
      </c>
      <c r="L4" s="1">
        <v>17096149</v>
      </c>
    </row>
    <row r="5" spans="1:13" x14ac:dyDescent="0.2">
      <c r="A5" s="1" t="s">
        <v>115</v>
      </c>
      <c r="B5" s="1" t="s">
        <v>118</v>
      </c>
      <c r="C5" s="1" t="s">
        <v>31</v>
      </c>
      <c r="D5" s="1" t="s">
        <v>117</v>
      </c>
      <c r="E5" s="1">
        <v>10.240399999999999</v>
      </c>
      <c r="F5" s="1">
        <v>-0.701546</v>
      </c>
      <c r="G5" s="1">
        <v>1995</v>
      </c>
      <c r="H5" s="1">
        <v>1996</v>
      </c>
      <c r="I5" s="1" t="s">
        <v>76</v>
      </c>
      <c r="J5" s="1">
        <v>7</v>
      </c>
      <c r="K5" s="1">
        <v>91</v>
      </c>
      <c r="L5" s="1">
        <v>17096149</v>
      </c>
    </row>
    <row r="6" spans="1:13" x14ac:dyDescent="0.2">
      <c r="A6" s="1" t="s">
        <v>115</v>
      </c>
      <c r="B6" s="1" t="s">
        <v>118</v>
      </c>
      <c r="C6" s="1" t="s">
        <v>31</v>
      </c>
      <c r="D6" s="1" t="s">
        <v>117</v>
      </c>
      <c r="E6" s="1">
        <v>10.240399999999999</v>
      </c>
      <c r="F6" s="1">
        <v>-0.701546</v>
      </c>
      <c r="G6" s="1">
        <v>1995</v>
      </c>
      <c r="H6" s="1">
        <v>1996</v>
      </c>
      <c r="I6" s="1" t="s">
        <v>74</v>
      </c>
      <c r="J6" s="1">
        <v>83</v>
      </c>
      <c r="K6" s="1">
        <v>91</v>
      </c>
      <c r="L6" s="1">
        <v>17096149</v>
      </c>
    </row>
    <row r="7" spans="1:13" x14ac:dyDescent="0.2">
      <c r="A7" s="1" t="s">
        <v>115</v>
      </c>
      <c r="B7" s="1" t="s">
        <v>118</v>
      </c>
      <c r="C7" s="1" t="s">
        <v>31</v>
      </c>
      <c r="D7" s="1" t="s">
        <v>117</v>
      </c>
      <c r="E7" s="1">
        <v>10.240399999999999</v>
      </c>
      <c r="F7" s="1">
        <v>-0.701546</v>
      </c>
      <c r="G7" s="1">
        <v>1995</v>
      </c>
      <c r="H7" s="1">
        <v>1996</v>
      </c>
      <c r="I7" s="1" t="s">
        <v>75</v>
      </c>
      <c r="J7" s="1">
        <v>1</v>
      </c>
      <c r="K7" s="1">
        <v>91</v>
      </c>
      <c r="L7" s="1">
        <v>17096149</v>
      </c>
    </row>
  </sheetData>
  <pageMargins left="0.7" right="0.7" top="0.75" bottom="0.75" header="0.511811023622047" footer="0.511811023622047"/>
  <pageSetup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E0B12-5396-F94C-97AD-74CEB25CAD3D}">
  <dimension ref="A1:M5"/>
  <sheetViews>
    <sheetView topLeftCell="H1" zoomScaleNormal="100" workbookViewId="0">
      <selection activeCell="L12" sqref="L12"/>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197</v>
      </c>
      <c r="B2" s="1" t="s">
        <v>198</v>
      </c>
      <c r="C2" s="1" t="s">
        <v>11</v>
      </c>
      <c r="D2" s="1" t="s">
        <v>12</v>
      </c>
      <c r="E2" s="1">
        <v>34.242199999999997</v>
      </c>
      <c r="F2" s="1">
        <v>-6.1732799999999997E-2</v>
      </c>
      <c r="G2" s="1">
        <v>2003</v>
      </c>
      <c r="H2" s="1">
        <v>2003</v>
      </c>
      <c r="I2" s="1" t="s">
        <v>71</v>
      </c>
      <c r="J2" s="1">
        <v>72</v>
      </c>
      <c r="K2" s="1">
        <v>93</v>
      </c>
      <c r="L2" s="1">
        <v>16271310</v>
      </c>
    </row>
    <row r="3" spans="1:13" x14ac:dyDescent="0.2">
      <c r="A3" s="1" t="s">
        <v>197</v>
      </c>
      <c r="B3" s="1" t="s">
        <v>198</v>
      </c>
      <c r="C3" s="1" t="s">
        <v>11</v>
      </c>
      <c r="D3" s="1" t="s">
        <v>12</v>
      </c>
      <c r="E3" s="1">
        <v>34.242199999999997</v>
      </c>
      <c r="F3" s="1">
        <v>-6.1732799999999997E-2</v>
      </c>
      <c r="G3" s="1">
        <v>2003</v>
      </c>
      <c r="H3" s="1">
        <v>2003</v>
      </c>
      <c r="I3" s="1" t="s">
        <v>73</v>
      </c>
      <c r="J3" s="1">
        <v>21</v>
      </c>
      <c r="K3" s="1">
        <v>93</v>
      </c>
      <c r="L3" s="1">
        <v>16271310</v>
      </c>
      <c r="M3" s="1" t="s">
        <v>348</v>
      </c>
    </row>
    <row r="4" spans="1:13" x14ac:dyDescent="0.2">
      <c r="A4" s="1" t="s">
        <v>197</v>
      </c>
      <c r="B4" s="1" t="s">
        <v>198</v>
      </c>
      <c r="C4" s="1" t="s">
        <v>11</v>
      </c>
      <c r="D4" s="1" t="s">
        <v>12</v>
      </c>
      <c r="E4" s="1">
        <v>34.242199999999997</v>
      </c>
      <c r="F4" s="1">
        <v>-6.1732799999999997E-2</v>
      </c>
      <c r="G4" s="1">
        <v>2003</v>
      </c>
      <c r="H4" s="1">
        <v>2003</v>
      </c>
      <c r="I4" s="1" t="s">
        <v>74</v>
      </c>
      <c r="J4" s="1">
        <v>58</v>
      </c>
      <c r="K4" s="1">
        <v>91</v>
      </c>
      <c r="L4" s="1">
        <v>16271310</v>
      </c>
    </row>
    <row r="5" spans="1:13" x14ac:dyDescent="0.2">
      <c r="A5" s="1" t="s">
        <v>197</v>
      </c>
      <c r="B5" s="1" t="s">
        <v>198</v>
      </c>
      <c r="C5" s="1" t="s">
        <v>11</v>
      </c>
      <c r="D5" s="1" t="s">
        <v>12</v>
      </c>
      <c r="E5" s="1">
        <v>34.242199999999997</v>
      </c>
      <c r="F5" s="1">
        <v>-6.1732799999999997E-2</v>
      </c>
      <c r="G5" s="1">
        <v>2003</v>
      </c>
      <c r="H5" s="1">
        <v>2003</v>
      </c>
      <c r="I5" s="1" t="s">
        <v>76</v>
      </c>
      <c r="J5" s="1">
        <v>33</v>
      </c>
      <c r="K5" s="1">
        <v>91</v>
      </c>
      <c r="L5" s="1">
        <v>16271310</v>
      </c>
      <c r="M5" s="1" t="s">
        <v>348</v>
      </c>
    </row>
  </sheetData>
  <pageMargins left="0.7" right="0.7" top="0.75" bottom="0.75" header="0.511811023622047" footer="0.511811023622047"/>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C9CF5-BD6D-9647-809E-10391B7BCBB7}">
  <dimension ref="A1:M4"/>
  <sheetViews>
    <sheetView zoomScaleNormal="100" workbookViewId="0">
      <selection activeCell="G20" sqref="G20"/>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205</v>
      </c>
      <c r="B2" s="1" t="s">
        <v>206</v>
      </c>
      <c r="C2" s="1" t="s">
        <v>63</v>
      </c>
      <c r="D2" s="1" t="s">
        <v>207</v>
      </c>
      <c r="E2" s="1">
        <v>-16.7</v>
      </c>
      <c r="F2" s="1">
        <v>14.416700000000001</v>
      </c>
      <c r="G2" s="1">
        <v>2001</v>
      </c>
      <c r="H2" s="1">
        <v>2002</v>
      </c>
      <c r="I2" s="1" t="s">
        <v>71</v>
      </c>
      <c r="J2" s="1">
        <v>47</v>
      </c>
      <c r="K2" s="1">
        <v>62</v>
      </c>
      <c r="L2" s="1">
        <v>15814601</v>
      </c>
      <c r="M2" s="1" t="s">
        <v>375</v>
      </c>
    </row>
    <row r="3" spans="1:13" x14ac:dyDescent="0.2">
      <c r="A3" s="1" t="s">
        <v>205</v>
      </c>
      <c r="B3" s="1" t="s">
        <v>206</v>
      </c>
      <c r="C3" s="1" t="s">
        <v>63</v>
      </c>
      <c r="D3" s="1" t="s">
        <v>207</v>
      </c>
      <c r="E3" s="1">
        <v>-16.7</v>
      </c>
      <c r="F3" s="1">
        <v>14.416700000000001</v>
      </c>
      <c r="G3" s="1">
        <v>2001</v>
      </c>
      <c r="H3" s="1">
        <v>2002</v>
      </c>
      <c r="I3" s="1" t="s">
        <v>73</v>
      </c>
      <c r="J3" s="1">
        <v>11</v>
      </c>
      <c r="K3" s="1">
        <v>62</v>
      </c>
      <c r="L3" s="1">
        <v>15814601</v>
      </c>
      <c r="M3" s="1" t="s">
        <v>375</v>
      </c>
    </row>
    <row r="4" spans="1:13" x14ac:dyDescent="0.2">
      <c r="A4" s="1" t="s">
        <v>205</v>
      </c>
      <c r="B4" s="1" t="s">
        <v>206</v>
      </c>
      <c r="C4" s="1" t="s">
        <v>63</v>
      </c>
      <c r="D4" s="1" t="s">
        <v>207</v>
      </c>
      <c r="E4" s="1">
        <v>-16.7</v>
      </c>
      <c r="F4" s="1">
        <v>14.416700000000001</v>
      </c>
      <c r="G4" s="1">
        <v>2001</v>
      </c>
      <c r="H4" s="1">
        <v>2002</v>
      </c>
      <c r="I4" s="1" t="s">
        <v>72</v>
      </c>
      <c r="J4" s="1">
        <v>4</v>
      </c>
      <c r="K4" s="1">
        <v>62</v>
      </c>
      <c r="L4" s="1">
        <v>15814601</v>
      </c>
      <c r="M4" s="1" t="s">
        <v>375</v>
      </c>
    </row>
  </sheetData>
  <pageMargins left="0.7" right="0.7" top="0.75" bottom="0.75" header="0.511811023622047" footer="0.511811023622047"/>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CFE71-281B-0145-B70F-3A90F663D7B5}">
  <dimension ref="A1:M5"/>
  <sheetViews>
    <sheetView topLeftCell="I1" zoomScaleNormal="100" workbookViewId="0">
      <selection activeCell="L12" sqref="L12"/>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230</v>
      </c>
      <c r="B2" s="1" t="s">
        <v>231</v>
      </c>
      <c r="C2" s="1" t="s">
        <v>227</v>
      </c>
      <c r="D2" s="1" t="s">
        <v>232</v>
      </c>
      <c r="E2" s="1">
        <v>-15.607200000000001</v>
      </c>
      <c r="F2" s="1">
        <v>13.574999999999999</v>
      </c>
      <c r="G2" s="1">
        <v>2000</v>
      </c>
      <c r="H2" s="1">
        <v>2000</v>
      </c>
      <c r="I2" s="1" t="s">
        <v>71</v>
      </c>
      <c r="J2" s="1">
        <v>55</v>
      </c>
      <c r="K2" s="1">
        <v>89</v>
      </c>
      <c r="L2" s="1">
        <v>15388456</v>
      </c>
    </row>
    <row r="3" spans="1:13" x14ac:dyDescent="0.2">
      <c r="A3" s="1" t="s">
        <v>230</v>
      </c>
      <c r="B3" s="1" t="s">
        <v>231</v>
      </c>
      <c r="C3" s="1" t="s">
        <v>227</v>
      </c>
      <c r="D3" s="1" t="s">
        <v>232</v>
      </c>
      <c r="E3" s="1">
        <v>-15.607200000000001</v>
      </c>
      <c r="F3" s="1">
        <v>13.574999999999999</v>
      </c>
      <c r="G3" s="1">
        <v>2000</v>
      </c>
      <c r="H3" s="1">
        <v>2000</v>
      </c>
      <c r="I3" s="1" t="s">
        <v>73</v>
      </c>
      <c r="J3" s="1">
        <v>34</v>
      </c>
      <c r="K3" s="1">
        <v>89</v>
      </c>
      <c r="L3" s="1">
        <v>15388456</v>
      </c>
      <c r="M3" s="1" t="s">
        <v>351</v>
      </c>
    </row>
    <row r="4" spans="1:13" x14ac:dyDescent="0.2">
      <c r="A4" s="1" t="s">
        <v>230</v>
      </c>
      <c r="B4" s="1" t="s">
        <v>231</v>
      </c>
      <c r="C4" s="1" t="s">
        <v>227</v>
      </c>
      <c r="D4" s="1" t="s">
        <v>232</v>
      </c>
      <c r="E4" s="1">
        <v>-15.607200000000001</v>
      </c>
      <c r="F4" s="1">
        <v>13.574999999999999</v>
      </c>
      <c r="G4" s="1">
        <v>2000</v>
      </c>
      <c r="H4" s="1">
        <v>2000</v>
      </c>
      <c r="I4" s="1" t="s">
        <v>74</v>
      </c>
      <c r="J4" s="1">
        <v>45</v>
      </c>
      <c r="K4" s="1">
        <v>91</v>
      </c>
      <c r="L4" s="1">
        <v>15388456</v>
      </c>
    </row>
    <row r="5" spans="1:13" x14ac:dyDescent="0.2">
      <c r="A5" s="1" t="s">
        <v>230</v>
      </c>
      <c r="B5" s="1" t="s">
        <v>231</v>
      </c>
      <c r="C5" s="1" t="s">
        <v>227</v>
      </c>
      <c r="D5" s="1" t="s">
        <v>232</v>
      </c>
      <c r="E5" s="1">
        <v>-15.607200000000001</v>
      </c>
      <c r="F5" s="1">
        <v>13.574999999999999</v>
      </c>
      <c r="G5" s="1">
        <v>2000</v>
      </c>
      <c r="H5" s="1">
        <v>2000</v>
      </c>
      <c r="I5" s="1" t="s">
        <v>76</v>
      </c>
      <c r="J5" s="1">
        <v>46</v>
      </c>
      <c r="K5" s="1">
        <v>91</v>
      </c>
      <c r="L5" s="1">
        <v>15388456</v>
      </c>
      <c r="M5" s="1" t="s">
        <v>351</v>
      </c>
    </row>
  </sheetData>
  <pageMargins left="0.7" right="0.7" top="0.75" bottom="0.75" header="0.511811023622047" footer="0.511811023622047"/>
  <pageSetup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46F5-A584-694A-B98A-D347A3AEDB3C}">
  <dimension ref="A1:M7"/>
  <sheetViews>
    <sheetView zoomScaleNormal="100" workbookViewId="0">
      <selection activeCell="J4" sqref="J4"/>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228</v>
      </c>
      <c r="B2" s="1" t="s">
        <v>229</v>
      </c>
      <c r="C2" s="1" t="s">
        <v>227</v>
      </c>
      <c r="D2" s="1" t="s">
        <v>227</v>
      </c>
      <c r="E2" s="1">
        <v>-16.577500000000001</v>
      </c>
      <c r="F2" s="1">
        <v>13.453099999999999</v>
      </c>
      <c r="G2" s="1">
        <v>1999</v>
      </c>
      <c r="H2" s="1">
        <v>1999</v>
      </c>
      <c r="I2" s="1" t="s">
        <v>71</v>
      </c>
      <c r="J2" s="1">
        <v>18</v>
      </c>
      <c r="K2" s="1">
        <v>98</v>
      </c>
      <c r="L2" s="1">
        <v>12518847</v>
      </c>
    </row>
    <row r="3" spans="1:13" x14ac:dyDescent="0.2">
      <c r="A3" s="1" t="s">
        <v>228</v>
      </c>
      <c r="B3" s="1" t="s">
        <v>229</v>
      </c>
      <c r="C3" s="1" t="s">
        <v>227</v>
      </c>
      <c r="D3" s="1" t="s">
        <v>227</v>
      </c>
      <c r="E3" s="1">
        <v>-16.577500000000001</v>
      </c>
      <c r="F3" s="1">
        <v>13.453099999999999</v>
      </c>
      <c r="G3" s="1">
        <v>1999</v>
      </c>
      <c r="H3" s="1">
        <v>1999</v>
      </c>
      <c r="I3" s="1" t="s">
        <v>72</v>
      </c>
      <c r="J3" s="1">
        <v>31</v>
      </c>
      <c r="K3" s="1">
        <v>98</v>
      </c>
      <c r="L3" s="1">
        <v>12518847</v>
      </c>
    </row>
    <row r="4" spans="1:13" x14ac:dyDescent="0.2">
      <c r="A4" s="1" t="s">
        <v>228</v>
      </c>
      <c r="B4" s="1" t="s">
        <v>229</v>
      </c>
      <c r="C4" s="1" t="s">
        <v>227</v>
      </c>
      <c r="D4" s="1" t="s">
        <v>227</v>
      </c>
      <c r="E4" s="1">
        <v>-16.577500000000001</v>
      </c>
      <c r="F4" s="1">
        <v>13.453099999999999</v>
      </c>
      <c r="G4" s="1">
        <v>1999</v>
      </c>
      <c r="H4" s="1">
        <v>1999</v>
      </c>
      <c r="I4" s="1" t="s">
        <v>73</v>
      </c>
      <c r="J4" s="1">
        <v>49</v>
      </c>
      <c r="K4" s="1">
        <v>98</v>
      </c>
      <c r="L4" s="1">
        <v>12518847</v>
      </c>
    </row>
    <row r="5" spans="1:13" x14ac:dyDescent="0.2">
      <c r="A5" s="1" t="s">
        <v>228</v>
      </c>
      <c r="B5" s="1" t="s">
        <v>229</v>
      </c>
      <c r="C5" s="1" t="s">
        <v>227</v>
      </c>
      <c r="D5" s="1" t="s">
        <v>227</v>
      </c>
      <c r="E5" s="1">
        <v>-16.577500000000001</v>
      </c>
      <c r="F5" s="1">
        <v>13.453099999999999</v>
      </c>
      <c r="G5" s="1">
        <v>1999</v>
      </c>
      <c r="H5" s="1">
        <v>1999</v>
      </c>
      <c r="I5" s="1" t="s">
        <v>76</v>
      </c>
      <c r="J5" s="1">
        <v>47</v>
      </c>
      <c r="K5" s="1">
        <v>74</v>
      </c>
      <c r="L5" s="1">
        <v>12518847</v>
      </c>
      <c r="M5" s="1" t="s">
        <v>352</v>
      </c>
    </row>
    <row r="6" spans="1:13" x14ac:dyDescent="0.2">
      <c r="A6" s="1" t="s">
        <v>228</v>
      </c>
      <c r="B6" s="1" t="s">
        <v>229</v>
      </c>
      <c r="C6" s="1" t="s">
        <v>227</v>
      </c>
      <c r="D6" s="1" t="s">
        <v>227</v>
      </c>
      <c r="E6" s="1">
        <v>-16.577500000000001</v>
      </c>
      <c r="F6" s="1">
        <v>13.453099999999999</v>
      </c>
      <c r="G6" s="1">
        <v>1999</v>
      </c>
      <c r="H6" s="1">
        <v>1999</v>
      </c>
      <c r="I6" s="1" t="s">
        <v>75</v>
      </c>
      <c r="J6" s="1">
        <v>8</v>
      </c>
      <c r="K6" s="1">
        <v>74</v>
      </c>
      <c r="L6" s="1">
        <v>12518847</v>
      </c>
      <c r="M6" s="1" t="s">
        <v>352</v>
      </c>
    </row>
    <row r="7" spans="1:13" x14ac:dyDescent="0.2">
      <c r="A7" s="1" t="s">
        <v>228</v>
      </c>
      <c r="B7" s="1" t="s">
        <v>229</v>
      </c>
      <c r="C7" s="1" t="s">
        <v>227</v>
      </c>
      <c r="D7" s="1" t="s">
        <v>227</v>
      </c>
      <c r="E7" s="1">
        <v>-16.577500000000001</v>
      </c>
      <c r="F7" s="1">
        <v>13.453099999999999</v>
      </c>
      <c r="G7" s="1">
        <v>1999</v>
      </c>
      <c r="H7" s="1">
        <v>1999</v>
      </c>
      <c r="I7" s="1" t="s">
        <v>74</v>
      </c>
      <c r="J7" s="1">
        <v>19</v>
      </c>
      <c r="K7" s="1">
        <v>74</v>
      </c>
      <c r="L7" s="1">
        <v>12518847</v>
      </c>
      <c r="M7" s="1" t="s">
        <v>352</v>
      </c>
    </row>
  </sheetData>
  <pageMargins left="0.7" right="0.7" top="0.75" bottom="0.75" header="0.511811023622047" footer="0.511811023622047"/>
  <pageSetup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251B1-1B1C-D247-8751-5C26A4BCC1C0}">
  <dimension ref="A1:M19"/>
  <sheetViews>
    <sheetView topLeftCell="I1" zoomScaleNormal="100" workbookViewId="0">
      <selection activeCell="L12" sqref="L12"/>
    </sheetView>
  </sheetViews>
  <sheetFormatPr baseColWidth="10" defaultColWidth="10.5" defaultRowHeight="16" x14ac:dyDescent="0.2"/>
  <cols>
    <col min="1" max="16384" width="10.5" style="1"/>
  </cols>
  <sheetData>
    <row r="1" spans="1:13" x14ac:dyDescent="0.2">
      <c r="A1" s="1" t="s">
        <v>65</v>
      </c>
      <c r="B1" s="1" t="s">
        <v>66</v>
      </c>
      <c r="C1" s="1" t="s">
        <v>0</v>
      </c>
      <c r="D1" s="1" t="s">
        <v>1</v>
      </c>
      <c r="E1" s="1" t="s">
        <v>5</v>
      </c>
      <c r="F1" s="1" t="s">
        <v>4</v>
      </c>
      <c r="G1" s="1" t="s">
        <v>67</v>
      </c>
      <c r="H1" s="1" t="s">
        <v>68</v>
      </c>
      <c r="I1" s="1" t="s">
        <v>64</v>
      </c>
      <c r="J1" s="1" t="s">
        <v>2</v>
      </c>
      <c r="K1" s="1" t="s">
        <v>3</v>
      </c>
      <c r="L1" s="1" t="s">
        <v>6</v>
      </c>
      <c r="M1" s="1" t="s">
        <v>62</v>
      </c>
    </row>
    <row r="2" spans="1:13" x14ac:dyDescent="0.2">
      <c r="A2" s="1" t="s">
        <v>243</v>
      </c>
      <c r="B2" s="1" t="s">
        <v>244</v>
      </c>
      <c r="C2" s="1" t="s">
        <v>15</v>
      </c>
      <c r="D2" s="1" t="s">
        <v>242</v>
      </c>
      <c r="E2" s="1">
        <v>32.533299999999997</v>
      </c>
      <c r="F2" s="1">
        <v>1.98333</v>
      </c>
      <c r="G2" s="1">
        <v>1998</v>
      </c>
      <c r="H2" s="1">
        <v>1999</v>
      </c>
      <c r="I2" s="1" t="s">
        <v>71</v>
      </c>
      <c r="J2" s="1">
        <v>7</v>
      </c>
      <c r="K2" s="1">
        <v>61</v>
      </c>
      <c r="L2" s="1">
        <v>12474488</v>
      </c>
    </row>
    <row r="3" spans="1:13" x14ac:dyDescent="0.2">
      <c r="A3" s="1" t="s">
        <v>243</v>
      </c>
      <c r="B3" s="1" t="s">
        <v>244</v>
      </c>
      <c r="C3" s="1" t="s">
        <v>15</v>
      </c>
      <c r="D3" s="1" t="s">
        <v>242</v>
      </c>
      <c r="E3" s="1">
        <v>32.533299999999997</v>
      </c>
      <c r="F3" s="1">
        <v>1.98333</v>
      </c>
      <c r="G3" s="1">
        <v>1998</v>
      </c>
      <c r="H3" s="1">
        <v>1999</v>
      </c>
      <c r="I3" s="1" t="s">
        <v>73</v>
      </c>
      <c r="J3" s="1">
        <v>6</v>
      </c>
      <c r="K3" s="1">
        <v>61</v>
      </c>
      <c r="L3" s="1">
        <v>12474488</v>
      </c>
    </row>
    <row r="4" spans="1:13" x14ac:dyDescent="0.2">
      <c r="A4" s="1" t="s">
        <v>243</v>
      </c>
      <c r="B4" s="1" t="s">
        <v>244</v>
      </c>
      <c r="C4" s="1" t="s">
        <v>15</v>
      </c>
      <c r="D4" s="1" t="s">
        <v>242</v>
      </c>
      <c r="E4" s="1">
        <v>32.533299999999997</v>
      </c>
      <c r="F4" s="1">
        <v>1.98333</v>
      </c>
      <c r="G4" s="1">
        <v>1998</v>
      </c>
      <c r="H4" s="1">
        <v>1999</v>
      </c>
      <c r="I4" s="1" t="s">
        <v>72</v>
      </c>
      <c r="J4" s="1">
        <v>48</v>
      </c>
      <c r="K4" s="1">
        <v>61</v>
      </c>
      <c r="L4" s="1">
        <v>12474488</v>
      </c>
    </row>
    <row r="5" spans="1:13" x14ac:dyDescent="0.2">
      <c r="A5" s="1" t="s">
        <v>243</v>
      </c>
      <c r="B5" s="1" t="s">
        <v>245</v>
      </c>
      <c r="C5" s="1" t="s">
        <v>15</v>
      </c>
      <c r="D5" s="1" t="s">
        <v>59</v>
      </c>
      <c r="E5" s="1">
        <v>30.91</v>
      </c>
      <c r="F5" s="1">
        <v>3.03</v>
      </c>
      <c r="G5" s="1">
        <v>1998</v>
      </c>
      <c r="H5" s="1">
        <v>1999</v>
      </c>
      <c r="I5" s="1" t="s">
        <v>71</v>
      </c>
      <c r="J5" s="1">
        <v>14</v>
      </c>
      <c r="K5" s="1">
        <v>73</v>
      </c>
      <c r="L5" s="1">
        <v>12474488</v>
      </c>
    </row>
    <row r="6" spans="1:13" x14ac:dyDescent="0.2">
      <c r="A6" s="1" t="s">
        <v>243</v>
      </c>
      <c r="B6" s="1" t="s">
        <v>245</v>
      </c>
      <c r="C6" s="1" t="s">
        <v>15</v>
      </c>
      <c r="D6" s="1" t="s">
        <v>59</v>
      </c>
      <c r="E6" s="1">
        <v>30.91</v>
      </c>
      <c r="F6" s="1">
        <v>3.03</v>
      </c>
      <c r="G6" s="1">
        <v>1998</v>
      </c>
      <c r="H6" s="1">
        <v>1999</v>
      </c>
      <c r="I6" s="1" t="s">
        <v>73</v>
      </c>
      <c r="J6" s="1">
        <v>10</v>
      </c>
      <c r="K6" s="1">
        <v>73</v>
      </c>
      <c r="L6" s="1">
        <v>12474488</v>
      </c>
    </row>
    <row r="7" spans="1:13" x14ac:dyDescent="0.2">
      <c r="A7" s="1" t="s">
        <v>243</v>
      </c>
      <c r="B7" s="1" t="s">
        <v>245</v>
      </c>
      <c r="C7" s="1" t="s">
        <v>15</v>
      </c>
      <c r="D7" s="1" t="s">
        <v>59</v>
      </c>
      <c r="E7" s="1">
        <v>30.91</v>
      </c>
      <c r="F7" s="1">
        <v>3.03</v>
      </c>
      <c r="G7" s="1">
        <v>1998</v>
      </c>
      <c r="H7" s="1">
        <v>1999</v>
      </c>
      <c r="I7" s="1" t="s">
        <v>72</v>
      </c>
      <c r="J7" s="1">
        <v>49</v>
      </c>
      <c r="K7" s="1">
        <v>73</v>
      </c>
      <c r="L7" s="1">
        <v>12474488</v>
      </c>
    </row>
    <row r="8" spans="1:13" x14ac:dyDescent="0.2">
      <c r="A8" s="1" t="s">
        <v>243</v>
      </c>
      <c r="B8" s="1" t="s">
        <v>246</v>
      </c>
      <c r="C8" s="1" t="s">
        <v>15</v>
      </c>
      <c r="D8" s="1" t="s">
        <v>60</v>
      </c>
      <c r="E8" s="1">
        <v>33.2042</v>
      </c>
      <c r="F8" s="1">
        <v>0.42444399999999999</v>
      </c>
      <c r="G8" s="1">
        <v>1998</v>
      </c>
      <c r="H8" s="1">
        <v>1999</v>
      </c>
      <c r="I8" s="1" t="s">
        <v>71</v>
      </c>
      <c r="J8" s="1">
        <v>11</v>
      </c>
      <c r="K8" s="1">
        <v>12</v>
      </c>
      <c r="L8" s="1">
        <v>12474488</v>
      </c>
    </row>
    <row r="9" spans="1:13" x14ac:dyDescent="0.2">
      <c r="A9" s="1" t="s">
        <v>243</v>
      </c>
      <c r="B9" s="1" t="s">
        <v>246</v>
      </c>
      <c r="C9" s="1" t="s">
        <v>15</v>
      </c>
      <c r="D9" s="1" t="s">
        <v>60</v>
      </c>
      <c r="E9" s="1">
        <v>33.2042</v>
      </c>
      <c r="F9" s="1">
        <v>0.42444399999999999</v>
      </c>
      <c r="G9" s="1">
        <v>1998</v>
      </c>
      <c r="H9" s="1">
        <v>1999</v>
      </c>
      <c r="I9" s="1" t="s">
        <v>73</v>
      </c>
      <c r="J9" s="1">
        <v>0</v>
      </c>
      <c r="K9" s="1">
        <v>12</v>
      </c>
      <c r="L9" s="1">
        <v>12474488</v>
      </c>
    </row>
    <row r="10" spans="1:13" x14ac:dyDescent="0.2">
      <c r="A10" s="1" t="s">
        <v>243</v>
      </c>
      <c r="B10" s="1" t="s">
        <v>246</v>
      </c>
      <c r="C10" s="1" t="s">
        <v>15</v>
      </c>
      <c r="D10" s="1" t="s">
        <v>60</v>
      </c>
      <c r="E10" s="1">
        <v>33.2042</v>
      </c>
      <c r="F10" s="1">
        <v>0.42444399999999999</v>
      </c>
      <c r="G10" s="1">
        <v>1998</v>
      </c>
      <c r="H10" s="1">
        <v>1999</v>
      </c>
      <c r="I10" s="1" t="s">
        <v>72</v>
      </c>
      <c r="J10" s="1">
        <v>1</v>
      </c>
      <c r="K10" s="1">
        <v>12</v>
      </c>
      <c r="L10" s="1">
        <v>12474488</v>
      </c>
    </row>
    <row r="11" spans="1:13" x14ac:dyDescent="0.2">
      <c r="A11" s="1" t="s">
        <v>243</v>
      </c>
      <c r="B11" s="1" t="s">
        <v>251</v>
      </c>
      <c r="C11" s="1" t="s">
        <v>15</v>
      </c>
      <c r="D11" s="1" t="s">
        <v>252</v>
      </c>
      <c r="E11" s="1">
        <v>30.254899999999999</v>
      </c>
      <c r="F11" s="1">
        <v>0.58966799999999997</v>
      </c>
      <c r="G11" s="1">
        <v>1998</v>
      </c>
      <c r="H11" s="1">
        <v>1999</v>
      </c>
      <c r="I11" s="1" t="s">
        <v>71</v>
      </c>
      <c r="J11" s="1">
        <v>16</v>
      </c>
      <c r="K11" s="1">
        <v>48</v>
      </c>
      <c r="L11" s="1">
        <v>12474488</v>
      </c>
    </row>
    <row r="12" spans="1:13" x14ac:dyDescent="0.2">
      <c r="A12" s="1" t="s">
        <v>243</v>
      </c>
      <c r="B12" s="1" t="s">
        <v>251</v>
      </c>
      <c r="C12" s="1" t="s">
        <v>15</v>
      </c>
      <c r="D12" s="1" t="s">
        <v>252</v>
      </c>
      <c r="E12" s="1">
        <v>30.254899999999999</v>
      </c>
      <c r="F12" s="1">
        <v>0.58966799999999997</v>
      </c>
      <c r="G12" s="1">
        <v>1998</v>
      </c>
      <c r="H12" s="1">
        <v>1999</v>
      </c>
      <c r="I12" s="1" t="s">
        <v>73</v>
      </c>
      <c r="J12" s="1">
        <v>1</v>
      </c>
      <c r="K12" s="1">
        <v>48</v>
      </c>
      <c r="L12" s="1">
        <v>12474488</v>
      </c>
    </row>
    <row r="13" spans="1:13" x14ac:dyDescent="0.2">
      <c r="A13" s="1" t="s">
        <v>243</v>
      </c>
      <c r="B13" s="1" t="s">
        <v>251</v>
      </c>
      <c r="C13" s="1" t="s">
        <v>15</v>
      </c>
      <c r="D13" s="1" t="s">
        <v>252</v>
      </c>
      <c r="E13" s="1">
        <v>30.254899999999999</v>
      </c>
      <c r="F13" s="1">
        <v>0.58966799999999997</v>
      </c>
      <c r="G13" s="1">
        <v>1998</v>
      </c>
      <c r="H13" s="1">
        <v>1999</v>
      </c>
      <c r="I13" s="1" t="s">
        <v>72</v>
      </c>
      <c r="J13" s="1">
        <v>31</v>
      </c>
      <c r="K13" s="1">
        <v>48</v>
      </c>
      <c r="L13" s="1">
        <v>12474488</v>
      </c>
    </row>
    <row r="14" spans="1:13" x14ac:dyDescent="0.2">
      <c r="A14" s="1" t="s">
        <v>243</v>
      </c>
      <c r="B14" s="1" t="s">
        <v>259</v>
      </c>
      <c r="C14" s="1" t="s">
        <v>15</v>
      </c>
      <c r="D14" s="1" t="s">
        <v>260</v>
      </c>
      <c r="E14" s="1">
        <v>29.925000000000001</v>
      </c>
      <c r="F14" s="1">
        <v>-0.79</v>
      </c>
      <c r="G14" s="1">
        <v>1998</v>
      </c>
      <c r="H14" s="1">
        <v>1999</v>
      </c>
      <c r="I14" s="1" t="s">
        <v>71</v>
      </c>
      <c r="J14" s="1">
        <v>45</v>
      </c>
      <c r="K14" s="1">
        <v>59</v>
      </c>
      <c r="L14" s="1">
        <v>12474488</v>
      </c>
    </row>
    <row r="15" spans="1:13" x14ac:dyDescent="0.2">
      <c r="A15" s="1" t="s">
        <v>243</v>
      </c>
      <c r="B15" s="1" t="s">
        <v>259</v>
      </c>
      <c r="C15" s="1" t="s">
        <v>15</v>
      </c>
      <c r="D15" s="1" t="s">
        <v>260</v>
      </c>
      <c r="E15" s="1">
        <v>29.925000000000001</v>
      </c>
      <c r="F15" s="1">
        <v>-0.79</v>
      </c>
      <c r="G15" s="1">
        <v>1998</v>
      </c>
      <c r="H15" s="1">
        <v>1999</v>
      </c>
      <c r="I15" s="1" t="s">
        <v>73</v>
      </c>
      <c r="J15" s="1">
        <v>0</v>
      </c>
      <c r="K15" s="1">
        <v>59</v>
      </c>
      <c r="L15" s="1">
        <v>12474488</v>
      </c>
    </row>
    <row r="16" spans="1:13" x14ac:dyDescent="0.2">
      <c r="A16" s="1" t="s">
        <v>243</v>
      </c>
      <c r="B16" s="1" t="s">
        <v>259</v>
      </c>
      <c r="C16" s="1" t="s">
        <v>15</v>
      </c>
      <c r="D16" s="1" t="s">
        <v>260</v>
      </c>
      <c r="E16" s="1">
        <v>29.925000000000001</v>
      </c>
      <c r="F16" s="1">
        <v>-0.79</v>
      </c>
      <c r="G16" s="1">
        <v>1998</v>
      </c>
      <c r="H16" s="1">
        <v>1999</v>
      </c>
      <c r="I16" s="1" t="s">
        <v>72</v>
      </c>
      <c r="J16" s="1">
        <v>14</v>
      </c>
      <c r="K16" s="1">
        <v>59</v>
      </c>
      <c r="L16" s="1">
        <v>12474488</v>
      </c>
    </row>
    <row r="17" spans="1:13" x14ac:dyDescent="0.2">
      <c r="A17" s="1" t="s">
        <v>243</v>
      </c>
      <c r="B17" s="1" t="s">
        <v>262</v>
      </c>
      <c r="C17" s="1" t="s">
        <v>15</v>
      </c>
      <c r="D17" s="1" t="s">
        <v>16</v>
      </c>
      <c r="E17" s="1">
        <v>34.181100000000001</v>
      </c>
      <c r="F17" s="1">
        <v>0.692778</v>
      </c>
      <c r="G17" s="1">
        <v>1998</v>
      </c>
      <c r="H17" s="1">
        <v>1999</v>
      </c>
      <c r="I17" s="1" t="s">
        <v>71</v>
      </c>
      <c r="J17" s="1">
        <v>27</v>
      </c>
      <c r="K17" s="1">
        <v>43</v>
      </c>
      <c r="L17" s="1">
        <v>12474488</v>
      </c>
    </row>
    <row r="18" spans="1:13" x14ac:dyDescent="0.2">
      <c r="A18" s="1" t="s">
        <v>243</v>
      </c>
      <c r="B18" s="1" t="s">
        <v>262</v>
      </c>
      <c r="C18" s="1" t="s">
        <v>15</v>
      </c>
      <c r="D18" s="1" t="s">
        <v>16</v>
      </c>
      <c r="E18" s="1">
        <v>34.181100000000001</v>
      </c>
      <c r="F18" s="1">
        <v>0.692778</v>
      </c>
      <c r="G18" s="1">
        <v>1998</v>
      </c>
      <c r="H18" s="1">
        <v>1999</v>
      </c>
      <c r="I18" s="1" t="s">
        <v>73</v>
      </c>
      <c r="J18" s="1">
        <v>2</v>
      </c>
      <c r="K18" s="1">
        <v>43</v>
      </c>
      <c r="L18" s="1">
        <v>12474488</v>
      </c>
      <c r="M18" s="1" t="s">
        <v>353</v>
      </c>
    </row>
    <row r="19" spans="1:13" x14ac:dyDescent="0.2">
      <c r="A19" s="1" t="s">
        <v>243</v>
      </c>
      <c r="B19" s="1" t="s">
        <v>262</v>
      </c>
      <c r="C19" s="1" t="s">
        <v>15</v>
      </c>
      <c r="D19" s="1" t="s">
        <v>16</v>
      </c>
      <c r="E19" s="1">
        <v>34.181100000000001</v>
      </c>
      <c r="F19" s="1">
        <v>0.692778</v>
      </c>
      <c r="G19" s="1">
        <v>1998</v>
      </c>
      <c r="H19" s="1">
        <v>1999</v>
      </c>
      <c r="I19" s="1" t="s">
        <v>72</v>
      </c>
      <c r="J19" s="1">
        <v>14</v>
      </c>
      <c r="K19" s="1">
        <v>43</v>
      </c>
      <c r="L19" s="1">
        <v>12474488</v>
      </c>
      <c r="M19" s="1" t="s">
        <v>353</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44</vt:i4>
      </vt:variant>
    </vt:vector>
  </HeadingPairs>
  <TitlesOfParts>
    <vt:vector size="44" baseType="lpstr">
      <vt:lpstr>11926004</vt:lpstr>
      <vt:lpstr>31369106</vt:lpstr>
      <vt:lpstr>17292769</vt:lpstr>
      <vt:lpstr>28546554</vt:lpstr>
      <vt:lpstr>35135546</vt:lpstr>
      <vt:lpstr>34906159</vt:lpstr>
      <vt:lpstr>30404640</vt:lpstr>
      <vt:lpstr>29854394</vt:lpstr>
      <vt:lpstr>29582732</vt:lpstr>
      <vt:lpstr>29486766</vt:lpstr>
      <vt:lpstr>29458380</vt:lpstr>
      <vt:lpstr>29390014</vt:lpstr>
      <vt:lpstr>29363453</vt:lpstr>
      <vt:lpstr>28039354</vt:lpstr>
      <vt:lpstr>28004634</vt:lpstr>
      <vt:lpstr>27565897</vt:lpstr>
      <vt:lpstr>27160572</vt:lpstr>
      <vt:lpstr>25421474</vt:lpstr>
      <vt:lpstr>24799371</vt:lpstr>
      <vt:lpstr>24727053</vt:lpstr>
      <vt:lpstr>24657918</vt:lpstr>
      <vt:lpstr>24359280</vt:lpstr>
      <vt:lpstr>23870667</vt:lpstr>
      <vt:lpstr>23537170</vt:lpstr>
      <vt:lpstr>22904636</vt:lpstr>
      <vt:lpstr>22641431</vt:lpstr>
      <vt:lpstr>22004584</vt:lpstr>
      <vt:lpstr>21896916</vt:lpstr>
      <vt:lpstr>21288822</vt:lpstr>
      <vt:lpstr>19398039</vt:lpstr>
      <vt:lpstr>19346369</vt:lpstr>
      <vt:lpstr>19014684</vt:lpstr>
      <vt:lpstr>18411325</vt:lpstr>
      <vt:lpstr>18008244</vt:lpstr>
      <vt:lpstr>17538894</vt:lpstr>
      <vt:lpstr>17488902</vt:lpstr>
      <vt:lpstr>17224049</vt:lpstr>
      <vt:lpstr>17158810</vt:lpstr>
      <vt:lpstr>17096149</vt:lpstr>
      <vt:lpstr>16271310</vt:lpstr>
      <vt:lpstr>15814601</vt:lpstr>
      <vt:lpstr>15388456</vt:lpstr>
      <vt:lpstr>12518847</vt:lpstr>
      <vt:lpstr>12474488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Verity, Robert J</dc:creator>
  <cp:lastModifiedBy>Verity, Robert J</cp:lastModifiedBy>
  <dcterms:created xsi:type="dcterms:W3CDTF">2025-12-07T16:48:55Z</dcterms:created>
  <dcterms:modified xsi:type="dcterms:W3CDTF">2025-12-19T15:48:11Z</dcterms:modified>
</cp:coreProperties>
</file>